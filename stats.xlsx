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ksm\Downloads\Inne\Football-season-Poisson-model\"/>
    </mc:Choice>
  </mc:AlternateContent>
  <xr:revisionPtr revIDLastSave="0" documentId="13_ncr:1_{15B02E02-92B2-4F79-9A4D-5EAA97F9C905}" xr6:coauthVersionLast="47" xr6:coauthVersionMax="47" xr10:uidLastSave="{00000000-0000-0000-0000-000000000000}"/>
  <bookViews>
    <workbookView xWindow="34380" yWindow="6048" windowWidth="15828" windowHeight="10716" activeTab="1" xr2:uid="{00000000-000D-0000-FFFF-FFFF00000000}"/>
  </bookViews>
  <sheets>
    <sheet name="Ekstraklasa" sheetId="1" r:id="rId1"/>
    <sheet name="I liga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3" l="1"/>
  <c r="K7" i="3"/>
  <c r="K7" i="1"/>
  <c r="M7" i="1"/>
  <c r="N7" i="1"/>
  <c r="Q7" i="1"/>
  <c r="P7" i="3"/>
  <c r="Q7" i="3"/>
  <c r="R7" i="3"/>
  <c r="S7" i="3"/>
  <c r="O7" i="3"/>
  <c r="N7" i="3"/>
  <c r="M7" i="3"/>
  <c r="L7" i="3"/>
  <c r="H7" i="3"/>
  <c r="F7" i="3"/>
  <c r="E7" i="3"/>
  <c r="D7" i="3"/>
  <c r="C7" i="3"/>
  <c r="G7" i="3"/>
  <c r="J7" i="3"/>
  <c r="B7" i="3"/>
  <c r="D7" i="1"/>
  <c r="E7" i="1"/>
  <c r="F7" i="1"/>
  <c r="G7" i="1"/>
  <c r="H7" i="1"/>
  <c r="I7" i="1"/>
  <c r="J7" i="1"/>
  <c r="L7" i="1"/>
  <c r="C7" i="1"/>
  <c r="O7" i="1"/>
  <c r="P7" i="1"/>
  <c r="R7" i="1"/>
  <c r="S7" i="1"/>
  <c r="B7" i="1"/>
</calcChain>
</file>

<file path=xl/sharedStrings.xml><?xml version="1.0" encoding="utf-8"?>
<sst xmlns="http://schemas.openxmlformats.org/spreadsheetml/2006/main" count="302" uniqueCount="291">
  <si>
    <t>Arka</t>
  </si>
  <si>
    <t>Cracovia</t>
  </si>
  <si>
    <t>Górnik</t>
  </si>
  <si>
    <t>Jagiellonia</t>
  </si>
  <si>
    <t>Korona</t>
  </si>
  <si>
    <t>Lech</t>
  </si>
  <si>
    <t>Lechia</t>
  </si>
  <si>
    <t>Legia</t>
  </si>
  <si>
    <t>Piast</t>
  </si>
  <si>
    <t>Pogoń</t>
  </si>
  <si>
    <t>Zwycięstwa</t>
  </si>
  <si>
    <t>Remisy</t>
  </si>
  <si>
    <t>Porażki</t>
  </si>
  <si>
    <t>Bramki +</t>
  </si>
  <si>
    <t>Bramki -</t>
  </si>
  <si>
    <t>Bilans</t>
  </si>
  <si>
    <t>Strzelcy:</t>
  </si>
  <si>
    <t>ŁKS</t>
  </si>
  <si>
    <t>Raków</t>
  </si>
  <si>
    <t>GKS</t>
  </si>
  <si>
    <t>Motor</t>
  </si>
  <si>
    <t>Radomiak</t>
  </si>
  <si>
    <t>Widzew</t>
  </si>
  <si>
    <t>Zagłębie</t>
  </si>
  <si>
    <t>Chrobry</t>
  </si>
  <si>
    <t>Znicz</t>
  </si>
  <si>
    <t>Wisła</t>
  </si>
  <si>
    <t>Termalica</t>
  </si>
  <si>
    <t>Tychy</t>
  </si>
  <si>
    <t>Stal R</t>
  </si>
  <si>
    <t>Ruch</t>
  </si>
  <si>
    <t>Siedlce</t>
  </si>
  <si>
    <t>Płock</t>
  </si>
  <si>
    <t>Miedź</t>
  </si>
  <si>
    <t>Łęczna</t>
  </si>
  <si>
    <t>Odra</t>
  </si>
  <si>
    <t>1 Warchoł</t>
  </si>
  <si>
    <t>1 Nowak</t>
  </si>
  <si>
    <t>1 Ciepiela</t>
  </si>
  <si>
    <t>1 Strózik</t>
  </si>
  <si>
    <t>Ludogorec 2:2</t>
  </si>
  <si>
    <t>1 Simon</t>
  </si>
  <si>
    <t>1 Rybak</t>
  </si>
  <si>
    <t>2 Urbański</t>
  </si>
  <si>
    <t>2 Makuch</t>
  </si>
  <si>
    <t>1 Braut Brunes</t>
  </si>
  <si>
    <t>2 Grosicki</t>
  </si>
  <si>
    <t>1 Mukairu</t>
  </si>
  <si>
    <t>Puszcza</t>
  </si>
  <si>
    <t>Stal M</t>
  </si>
  <si>
    <t>Wieczysta</t>
  </si>
  <si>
    <t>Śląsk</t>
  </si>
  <si>
    <t>Polonia B.</t>
  </si>
  <si>
    <t>Polonia W.</t>
  </si>
  <si>
    <t>Pogoń GM</t>
  </si>
  <si>
    <t>1 Orlik</t>
  </si>
  <si>
    <t>1 Grić</t>
  </si>
  <si>
    <t>1 Masiak</t>
  </si>
  <si>
    <t>1 Samiec-Talar</t>
  </si>
  <si>
    <t>1 Iwao</t>
  </si>
  <si>
    <t>1 Czubak</t>
  </si>
  <si>
    <t>1 Ronaldo</t>
  </si>
  <si>
    <t>1 Samper</t>
  </si>
  <si>
    <t>1 Plichta</t>
  </si>
  <si>
    <t>1 Pankov</t>
  </si>
  <si>
    <t>1 Colak</t>
  </si>
  <si>
    <t>Pogoń GM 3:2</t>
  </si>
  <si>
    <t>2 Donis</t>
  </si>
  <si>
    <t>1 Grzesik</t>
  </si>
  <si>
    <t>Znicz 3:1</t>
  </si>
  <si>
    <t>Sigma Ołomuniec 0:2</t>
  </si>
  <si>
    <t>1 Barbosa</t>
  </si>
  <si>
    <t>2 Rojek</t>
  </si>
  <si>
    <t>NS Mura 1:0</t>
  </si>
  <si>
    <t>1 Jakubczyk</t>
  </si>
  <si>
    <t>Csikszereda 1:1</t>
  </si>
  <si>
    <t>1 Niarchos</t>
  </si>
  <si>
    <t>1 Sekulski</t>
  </si>
  <si>
    <t>Rapid B. 2:1</t>
  </si>
  <si>
    <t>Salzburg 1:1</t>
  </si>
  <si>
    <t>Petrolul Ploesti 3:0</t>
  </si>
  <si>
    <t>1 Markovic</t>
  </si>
  <si>
    <t>1 Zrelak</t>
  </si>
  <si>
    <t>Universitatea Cluj 1:1</t>
  </si>
  <si>
    <t>1 Zeqiri</t>
  </si>
  <si>
    <t>Puskas 1:1</t>
  </si>
  <si>
    <t>1 Ligocki</t>
  </si>
  <si>
    <t>Karvina 2:2</t>
  </si>
  <si>
    <t>1 Guerrero</t>
  </si>
  <si>
    <t>Novi Belgrad 3:1</t>
  </si>
  <si>
    <t>NK Aluminij 2:0</t>
  </si>
  <si>
    <t>1 Hiszpański</t>
  </si>
  <si>
    <t>Zeleznicar 1:0</t>
  </si>
  <si>
    <t>Cukaricki 1:1</t>
  </si>
  <si>
    <t>Jablonec 0:3</t>
  </si>
  <si>
    <t>CSKA Sofia 2:0</t>
  </si>
  <si>
    <t>2 Tapsoba</t>
  </si>
  <si>
    <t>1 Capita</t>
  </si>
  <si>
    <t>Moncarapacho 4:0</t>
  </si>
  <si>
    <t>Gangwon 4:0</t>
  </si>
  <si>
    <t>1 Szysz</t>
  </si>
  <si>
    <t>Linzer ASK 1:4</t>
  </si>
  <si>
    <t>Sigma 1:0</t>
  </si>
  <si>
    <t>3 Kurzawa</t>
  </si>
  <si>
    <t>Spartak Subotica 1:0</t>
  </si>
  <si>
    <t>Paksi 2:1</t>
  </si>
  <si>
    <t>1 Bukari</t>
  </si>
  <si>
    <t>1 Bergier</t>
  </si>
  <si>
    <t>Novi Beograd 5:1</t>
  </si>
  <si>
    <t>Stal SW 5:1</t>
  </si>
  <si>
    <t>Świt Szczecin 3:1</t>
  </si>
  <si>
    <t>2 Scalet</t>
  </si>
  <si>
    <t>1 Ede</t>
  </si>
  <si>
    <t>1 Rodrigues</t>
  </si>
  <si>
    <t>1 Matthys</t>
  </si>
  <si>
    <t>1 N'Diaye</t>
  </si>
  <si>
    <t>Karabach 1:3</t>
  </si>
  <si>
    <t>1 Corluka</t>
  </si>
  <si>
    <t>1 Janza</t>
  </si>
  <si>
    <t>1 Sacek</t>
  </si>
  <si>
    <t>1 Stojilkovic</t>
  </si>
  <si>
    <t>Weres Równe 1:1</t>
  </si>
  <si>
    <t>1 Wjunnyk</t>
  </si>
  <si>
    <t>Lokomotiw Sofia 2:1</t>
  </si>
  <si>
    <t>1 Lokilo</t>
  </si>
  <si>
    <t>Brondby 1:1</t>
  </si>
  <si>
    <t>3 Stępiński</t>
  </si>
  <si>
    <t>1 Długosz</t>
  </si>
  <si>
    <t>1 Cebula</t>
  </si>
  <si>
    <t>Trnava 3:1</t>
  </si>
  <si>
    <t>Turan Tovuz 3:2</t>
  </si>
  <si>
    <t>1 Greenwood</t>
  </si>
  <si>
    <t>2 Galan</t>
  </si>
  <si>
    <t>Atert Bissen 2:0</t>
  </si>
  <si>
    <t>Bohemians 0:1</t>
  </si>
  <si>
    <t>1 Palma</t>
  </si>
  <si>
    <t>1 Gholizadeh</t>
  </si>
  <si>
    <t>Zilina 2:1</t>
  </si>
  <si>
    <t>Zilina 1:0</t>
  </si>
  <si>
    <t>Ried 2:1</t>
  </si>
  <si>
    <t>2 Kossidis</t>
  </si>
  <si>
    <t>1 Woźniak</t>
  </si>
  <si>
    <t>Zeleziarne 2:3</t>
  </si>
  <si>
    <t>Jablonec 0:0</t>
  </si>
  <si>
    <t>Partizan 1:1</t>
  </si>
  <si>
    <t>1 Lozano</t>
  </si>
  <si>
    <t>CSKA Sofia 1:1</t>
  </si>
  <si>
    <t>Farense 5:0</t>
  </si>
  <si>
    <t>1 Joao Pedro</t>
  </si>
  <si>
    <t>1 Elves Balde</t>
  </si>
  <si>
    <t>2 Maurides</t>
  </si>
  <si>
    <t>2 Vasco Lopes</t>
  </si>
  <si>
    <t>Polissia 0:0</t>
  </si>
  <si>
    <t>1 Dieguez</t>
  </si>
  <si>
    <t>Portimonense 1:1</t>
  </si>
  <si>
    <t>Spartak Subotica 4:1</t>
  </si>
  <si>
    <t>1 Oliviera</t>
  </si>
  <si>
    <t>1 Gutkovskis</t>
  </si>
  <si>
    <t>1 Navarro</t>
  </si>
  <si>
    <t>1 Rzuchowski</t>
  </si>
  <si>
    <t>1 Sezonienko</t>
  </si>
  <si>
    <t>Hradec Kralove 1:2</t>
  </si>
  <si>
    <t>1 Kwiatkowski</t>
  </si>
  <si>
    <t>1 Adamski</t>
  </si>
  <si>
    <t>1 Gajgier</t>
  </si>
  <si>
    <t>1 Salihu</t>
  </si>
  <si>
    <t>1 Wojtyra</t>
  </si>
  <si>
    <t>1 Stefański</t>
  </si>
  <si>
    <t>1 Wuwer</t>
  </si>
  <si>
    <t>1 Stefansson</t>
  </si>
  <si>
    <t>1 Ciućka</t>
  </si>
  <si>
    <t>1 Szuprytowski</t>
  </si>
  <si>
    <t>1 Pakulski</t>
  </si>
  <si>
    <t>1 Śmiglewski</t>
  </si>
  <si>
    <t>1 Barczak</t>
  </si>
  <si>
    <t>1 Grudziński</t>
  </si>
  <si>
    <t>1 Diallo</t>
  </si>
  <si>
    <t>1 Mansfeld</t>
  </si>
  <si>
    <t>1 Engvall</t>
  </si>
  <si>
    <t>1 Krzyżanowski</t>
  </si>
  <si>
    <t>2 Tkacz</t>
  </si>
  <si>
    <t>1 Akhmedov</t>
  </si>
  <si>
    <t>1 Wełniak</t>
  </si>
  <si>
    <t>1 Jankowski</t>
  </si>
  <si>
    <t>1 Junior</t>
  </si>
  <si>
    <t>2 Zielonka</t>
  </si>
  <si>
    <t>3 Famulak</t>
  </si>
  <si>
    <t>2 Klimek</t>
  </si>
  <si>
    <t>1 Bartlewicz</t>
  </si>
  <si>
    <t>1 Podgórski</t>
  </si>
  <si>
    <t>1 Szymański</t>
  </si>
  <si>
    <t>2 Cholewiak</t>
  </si>
  <si>
    <t>2 Kruszelnicki</t>
  </si>
  <si>
    <t>1 Pisek</t>
  </si>
  <si>
    <t>1 Gucek</t>
  </si>
  <si>
    <t>1 Toma</t>
  </si>
  <si>
    <t>1 Marjanac</t>
  </si>
  <si>
    <t>2 Młynarczyk</t>
  </si>
  <si>
    <t>1 Kupczak</t>
  </si>
  <si>
    <t>1 Ernst</t>
  </si>
  <si>
    <t>Dynamo K. 0:0</t>
  </si>
  <si>
    <t>3 Kocyła</t>
  </si>
  <si>
    <t>2 Kerk</t>
  </si>
  <si>
    <t>Radnicki Nisz 2:0</t>
  </si>
  <si>
    <t>TSC Backa Topola 2:1</t>
  </si>
  <si>
    <t>2 Wdowiak</t>
  </si>
  <si>
    <t>1 Błąd</t>
  </si>
  <si>
    <t>1 Dankowski</t>
  </si>
  <si>
    <t>1 Szymonowicz</t>
  </si>
  <si>
    <t>1 Semedo</t>
  </si>
  <si>
    <t>4 Kądzior</t>
  </si>
  <si>
    <t>1 Tecław</t>
  </si>
  <si>
    <t>3 Stanclik</t>
  </si>
  <si>
    <t>1 Cordoba</t>
  </si>
  <si>
    <t>1 Proczek</t>
  </si>
  <si>
    <t>1 Kazimierczak</t>
  </si>
  <si>
    <t>1 Cieloch</t>
  </si>
  <si>
    <t>1 Sobeczko</t>
  </si>
  <si>
    <t>1 Nagamatsu</t>
  </si>
  <si>
    <t>Levski 0:0</t>
  </si>
  <si>
    <t>FK Radnicki 1:1</t>
  </si>
  <si>
    <t>1 Jurić</t>
  </si>
  <si>
    <t>Banik Ostrawa 3:2</t>
  </si>
  <si>
    <t>2 Alvarez</t>
  </si>
  <si>
    <t>1 Baena</t>
  </si>
  <si>
    <t>FK Mladost 1:1</t>
  </si>
  <si>
    <t>3 Mena</t>
  </si>
  <si>
    <t>Sparta Praga 3:3</t>
  </si>
  <si>
    <t>2 Żewłakow</t>
  </si>
  <si>
    <t>1 Krasniqi</t>
  </si>
  <si>
    <t>1 Augustyniak</t>
  </si>
  <si>
    <t>Sparta Praga 0:1</t>
  </si>
  <si>
    <t>Widzew 1:1</t>
  </si>
  <si>
    <t>Zagłębie 1:1</t>
  </si>
  <si>
    <t>1 Andreou</t>
  </si>
  <si>
    <t>1 Nalepa</t>
  </si>
  <si>
    <t>3 Spacil</t>
  </si>
  <si>
    <t>1 Chuma</t>
  </si>
  <si>
    <t>1 Gieroba</t>
  </si>
  <si>
    <t>1 Kądziołka</t>
  </si>
  <si>
    <t>1 Grzelak</t>
  </si>
  <si>
    <t>1 Nowakowski</t>
  </si>
  <si>
    <t>1 Vallejo</t>
  </si>
  <si>
    <t>Odense 1:0</t>
  </si>
  <si>
    <t>Vojvodina 3:1</t>
  </si>
  <si>
    <t>3 Bulat</t>
  </si>
  <si>
    <t>2 Pululu</t>
  </si>
  <si>
    <t>2 Imaz</t>
  </si>
  <si>
    <t>Cukaricki 3:0</t>
  </si>
  <si>
    <t>2 Mras</t>
  </si>
  <si>
    <t>2 Carlitos</t>
  </si>
  <si>
    <t>1 Rafa Lopes</t>
  </si>
  <si>
    <t>1 Kneżević</t>
  </si>
  <si>
    <t>3 Niewiarowski</t>
  </si>
  <si>
    <t>3 Banaszak</t>
  </si>
  <si>
    <t>1 Sokołowski</t>
  </si>
  <si>
    <t>2 Mazur</t>
  </si>
  <si>
    <t>1 Apolinarski</t>
  </si>
  <si>
    <t>1 Kobusiński</t>
  </si>
  <si>
    <t>1 Tront</t>
  </si>
  <si>
    <t>1 Pochcioł</t>
  </si>
  <si>
    <t>1 Kasolik</t>
  </si>
  <si>
    <t>1 Bednarczyk</t>
  </si>
  <si>
    <t>1 Janaszek</t>
  </si>
  <si>
    <t>1 Niezgoda</t>
  </si>
  <si>
    <t>2 Jach</t>
  </si>
  <si>
    <t>1 Bąk</t>
  </si>
  <si>
    <t>1 Janczukowicz</t>
  </si>
  <si>
    <t>1 Biedrzycki</t>
  </si>
  <si>
    <t>3 Szwedzik</t>
  </si>
  <si>
    <t>1 Warczak</t>
  </si>
  <si>
    <t>1 Szymoniak</t>
  </si>
  <si>
    <t>1 Mioc</t>
  </si>
  <si>
    <t>Viborg 0:3</t>
  </si>
  <si>
    <t>Stal Mielec 4:0</t>
  </si>
  <si>
    <t>1 Isik</t>
  </si>
  <si>
    <t>1 Wolski</t>
  </si>
  <si>
    <t>2 Zapolnik</t>
  </si>
  <si>
    <t>1 Bengtsson</t>
  </si>
  <si>
    <t>1 Agnero</t>
  </si>
  <si>
    <t>Olmaliq 2:1</t>
  </si>
  <si>
    <t>1 Praszelik</t>
  </si>
  <si>
    <t>1 Al.-Ammari</t>
  </si>
  <si>
    <t>Artis Brno 2:2</t>
  </si>
  <si>
    <t>Noah Erewań 0:1</t>
  </si>
  <si>
    <t>3 Dzięgielewski</t>
  </si>
  <si>
    <t>Skra 2:1</t>
  </si>
  <si>
    <t>1 Tudor</t>
  </si>
  <si>
    <t>1 Brusberg</t>
  </si>
  <si>
    <t>1 Krasowskij</t>
  </si>
  <si>
    <t>2 Łyczko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</si>
</sst>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4"/>
      <color theme="1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3">
    <xf numFmtId="0" fontId="0" fillId="0" borderId="0" xfId="0"/>
    <xf numFmtId="0" fontId="17" fillId="0" borderId="0" xfId="0" applyFont="1"/>
    <xf numFmtId="0" fontId="18" fillId="0" borderId="0" xfId="0" applyFont="1"/>
    <xf numFmtId="0" fontId="18" fillId="0" borderId="2" xfId="0" applyFont="1" applyBorder="1"/>
    <xf numFmtId="0" fontId="19" fillId="0" borderId="3" xfId="0" applyFont="1" applyBorder="1"/>
    <xf numFmtId="0" fontId="19" fillId="0" borderId="4" xfId="0" applyFont="1" applyBorder="1"/>
    <xf numFmtId="0" fontId="18" fillId="0" borderId="9" xfId="0" applyFont="1" applyBorder="1"/>
    <xf numFmtId="0" fontId="19" fillId="0" borderId="0" xfId="0" applyFont="1"/>
    <xf numFmtId="0" fontId="19" fillId="0" borderId="6" xfId="0" applyFont="1" applyBorder="1"/>
    <xf numFmtId="0" fontId="18" fillId="0" borderId="1" xfId="0" applyFont="1" applyBorder="1"/>
    <xf numFmtId="0" fontId="19" fillId="0" borderId="7" xfId="0" applyFont="1" applyBorder="1"/>
    <xf numFmtId="0" fontId="19" fillId="0" borderId="8" xfId="0" applyFont="1" applyBorder="1"/>
    <xf numFmtId="49" fontId="17" fillId="0" borderId="0" xfId="0" applyNumberFormat="1" applyFont="1"/>
    <xf numFmtId="49" fontId="17" fillId="0" borderId="6" xfId="0" applyNumberFormat="1" applyFont="1" applyBorder="1"/>
    <xf numFmtId="0" fontId="17" fillId="0" borderId="6" xfId="0" applyFont="1" applyBorder="1"/>
    <xf numFmtId="49" fontId="18" fillId="0" borderId="10" xfId="0" applyNumberFormat="1" applyFont="1" applyBorder="1"/>
    <xf numFmtId="0" fontId="17" fillId="0" borderId="11" xfId="0" applyFont="1" applyBorder="1"/>
    <xf numFmtId="49" fontId="17" fillId="0" borderId="12" xfId="0" applyNumberFormat="1" applyFont="1" applyBorder="1"/>
    <xf numFmtId="0" fontId="17" fillId="0" borderId="12" xfId="0" applyFont="1" applyBorder="1"/>
    <xf numFmtId="49" fontId="16" fillId="0" borderId="0" xfId="0" applyNumberFormat="1" applyFont="1"/>
    <xf numFmtId="49" fontId="15" fillId="0" borderId="0" xfId="0" applyNumberFormat="1" applyFont="1"/>
    <xf numFmtId="0" fontId="14" fillId="0" borderId="0" xfId="0" applyFont="1"/>
    <xf numFmtId="49" fontId="14" fillId="0" borderId="0" xfId="0" applyNumberFormat="1" applyFont="1"/>
    <xf numFmtId="49" fontId="14" fillId="0" borderId="6" xfId="0" applyNumberFormat="1" applyFont="1" applyBorder="1"/>
    <xf numFmtId="0" fontId="17" fillId="0" borderId="9" xfId="0" applyFont="1" applyBorder="1"/>
    <xf numFmtId="49" fontId="17" fillId="0" borderId="9" xfId="0" applyNumberFormat="1" applyFont="1" applyBorder="1"/>
    <xf numFmtId="0" fontId="17" fillId="0" borderId="13" xfId="0" applyFont="1" applyBorder="1"/>
    <xf numFmtId="49" fontId="17" fillId="0" borderId="5" xfId="0" applyNumberFormat="1" applyFont="1" applyBorder="1"/>
    <xf numFmtId="49" fontId="14" fillId="2" borderId="14" xfId="0" applyNumberFormat="1" applyFont="1" applyFill="1" applyBorder="1"/>
    <xf numFmtId="49" fontId="17" fillId="2" borderId="14" xfId="0" applyNumberFormat="1" applyFont="1" applyFill="1" applyBorder="1"/>
    <xf numFmtId="0" fontId="14" fillId="4" borderId="14" xfId="0" applyFont="1" applyFill="1" applyBorder="1"/>
    <xf numFmtId="0" fontId="17" fillId="4" borderId="14" xfId="0" applyFont="1" applyFill="1" applyBorder="1"/>
    <xf numFmtId="49" fontId="17" fillId="2" borderId="21" xfId="0" applyNumberFormat="1" applyFont="1" applyFill="1" applyBorder="1"/>
    <xf numFmtId="49" fontId="14" fillId="2" borderId="21" xfId="0" applyNumberFormat="1" applyFont="1" applyFill="1" applyBorder="1"/>
    <xf numFmtId="49" fontId="14" fillId="2" borderId="22" xfId="0" applyNumberFormat="1" applyFont="1" applyFill="1" applyBorder="1"/>
    <xf numFmtId="49" fontId="14" fillId="3" borderId="16" xfId="0" applyNumberFormat="1" applyFont="1" applyFill="1" applyBorder="1"/>
    <xf numFmtId="49" fontId="17" fillId="3" borderId="20" xfId="0" applyNumberFormat="1" applyFont="1" applyFill="1" applyBorder="1"/>
    <xf numFmtId="49" fontId="17" fillId="3" borderId="21" xfId="0" applyNumberFormat="1" applyFont="1" applyFill="1" applyBorder="1"/>
    <xf numFmtId="49" fontId="14" fillId="3" borderId="21" xfId="0" applyNumberFormat="1" applyFont="1" applyFill="1" applyBorder="1"/>
    <xf numFmtId="0" fontId="14" fillId="4" borderId="16" xfId="0" applyFont="1" applyFill="1" applyBorder="1"/>
    <xf numFmtId="0" fontId="17" fillId="4" borderId="21" xfId="0" applyFont="1" applyFill="1" applyBorder="1"/>
    <xf numFmtId="0" fontId="17" fillId="4" borderId="22" xfId="0" applyFont="1" applyFill="1" applyBorder="1"/>
    <xf numFmtId="49" fontId="18" fillId="0" borderId="9" xfId="0" applyNumberFormat="1" applyFont="1" applyBorder="1"/>
    <xf numFmtId="49" fontId="13" fillId="0" borderId="0" xfId="0" applyNumberFormat="1" applyFont="1"/>
    <xf numFmtId="49" fontId="12" fillId="2" borderId="17" xfId="0" applyNumberFormat="1" applyFont="1" applyFill="1" applyBorder="1"/>
    <xf numFmtId="49" fontId="12" fillId="3" borderId="16" xfId="0" applyNumberFormat="1" applyFont="1" applyFill="1" applyBorder="1"/>
    <xf numFmtId="0" fontId="12" fillId="4" borderId="15" xfId="0" applyFont="1" applyFill="1" applyBorder="1"/>
    <xf numFmtId="49" fontId="12" fillId="0" borderId="0" xfId="0" applyNumberFormat="1" applyFont="1"/>
    <xf numFmtId="0" fontId="12" fillId="4" borderId="16" xfId="0" applyFont="1" applyFill="1" applyBorder="1"/>
    <xf numFmtId="0" fontId="11" fillId="4" borderId="16" xfId="0" applyFont="1" applyFill="1" applyBorder="1"/>
    <xf numFmtId="49" fontId="11" fillId="0" borderId="0" xfId="0" applyNumberFormat="1" applyFont="1"/>
    <xf numFmtId="49" fontId="19" fillId="0" borderId="2" xfId="0" applyNumberFormat="1" applyFont="1" applyBorder="1"/>
    <xf numFmtId="49" fontId="11" fillId="2" borderId="16" xfId="0" applyNumberFormat="1" applyFont="1" applyFill="1" applyBorder="1"/>
    <xf numFmtId="0" fontId="11" fillId="0" borderId="0" xfId="0" applyFont="1"/>
    <xf numFmtId="49" fontId="11" fillId="3" borderId="21" xfId="0" applyNumberFormat="1" applyFont="1" applyFill="1" applyBorder="1"/>
    <xf numFmtId="49" fontId="11" fillId="3" borderId="16" xfId="0" applyNumberFormat="1" applyFont="1" applyFill="1" applyBorder="1"/>
    <xf numFmtId="49" fontId="11" fillId="2" borderId="14" xfId="0" applyNumberFormat="1" applyFont="1" applyFill="1" applyBorder="1"/>
    <xf numFmtId="49" fontId="17" fillId="3" borderId="12" xfId="0" applyNumberFormat="1" applyFont="1" applyFill="1" applyBorder="1"/>
    <xf numFmtId="49" fontId="11" fillId="3" borderId="23" xfId="0" applyNumberFormat="1" applyFont="1" applyFill="1" applyBorder="1"/>
    <xf numFmtId="49" fontId="14" fillId="3" borderId="23" xfId="0" applyNumberFormat="1" applyFont="1" applyFill="1" applyBorder="1"/>
    <xf numFmtId="49" fontId="17" fillId="3" borderId="23" xfId="0" applyNumberFormat="1" applyFont="1" applyFill="1" applyBorder="1"/>
    <xf numFmtId="49" fontId="19" fillId="0" borderId="9" xfId="0" applyNumberFormat="1" applyFont="1" applyBorder="1"/>
    <xf numFmtId="0" fontId="19" fillId="0" borderId="2" xfId="0" applyFont="1" applyBorder="1"/>
    <xf numFmtId="49" fontId="11" fillId="2" borderId="21" xfId="0" applyNumberFormat="1" applyFont="1" applyFill="1" applyBorder="1"/>
    <xf numFmtId="0" fontId="11" fillId="4" borderId="14" xfId="0" applyFont="1" applyFill="1" applyBorder="1"/>
    <xf numFmtId="49" fontId="11" fillId="2" borderId="20" xfId="0" applyNumberFormat="1" applyFont="1" applyFill="1" applyBorder="1"/>
    <xf numFmtId="49" fontId="11" fillId="0" borderId="6" xfId="0" applyNumberFormat="1" applyFont="1" applyBorder="1"/>
    <xf numFmtId="49" fontId="11" fillId="2" borderId="19" xfId="0" applyNumberFormat="1" applyFont="1" applyFill="1" applyBorder="1"/>
    <xf numFmtId="49" fontId="11" fillId="2" borderId="26" xfId="0" applyNumberFormat="1" applyFont="1" applyFill="1" applyBorder="1"/>
    <xf numFmtId="49" fontId="14" fillId="2" borderId="26" xfId="0" applyNumberFormat="1" applyFont="1" applyFill="1" applyBorder="1"/>
    <xf numFmtId="49" fontId="17" fillId="2" borderId="26" xfId="0" applyNumberFormat="1" applyFont="1" applyFill="1" applyBorder="1"/>
    <xf numFmtId="49" fontId="11" fillId="2" borderId="27" xfId="0" applyNumberFormat="1" applyFont="1" applyFill="1" applyBorder="1"/>
    <xf numFmtId="0" fontId="11" fillId="4" borderId="18" xfId="0" applyFont="1" applyFill="1" applyBorder="1"/>
    <xf numFmtId="0" fontId="11" fillId="4" borderId="21" xfId="0" applyFont="1" applyFill="1" applyBorder="1"/>
    <xf numFmtId="0" fontId="11" fillId="4" borderId="20" xfId="0" applyFont="1" applyFill="1" applyBorder="1"/>
    <xf numFmtId="49" fontId="12" fillId="0" borderId="0" xfId="0" applyNumberFormat="1" applyFont="1" applyBorder="1"/>
    <xf numFmtId="0" fontId="10" fillId="2" borderId="16" xfId="0" applyFont="1" applyFill="1" applyBorder="1"/>
    <xf numFmtId="0" fontId="10" fillId="0" borderId="3" xfId="0" applyFont="1" applyBorder="1"/>
    <xf numFmtId="49" fontId="10" fillId="0" borderId="0" xfId="0" applyNumberFormat="1" applyFont="1"/>
    <xf numFmtId="49" fontId="10" fillId="0" borderId="3" xfId="0" applyNumberFormat="1" applyFont="1" applyBorder="1"/>
    <xf numFmtId="49" fontId="10" fillId="2" borderId="16" xfId="0" applyNumberFormat="1" applyFont="1" applyFill="1" applyBorder="1"/>
    <xf numFmtId="0" fontId="10" fillId="0" borderId="0" xfId="0" applyFont="1"/>
    <xf numFmtId="0" fontId="10" fillId="4" borderId="16" xfId="0" applyFont="1" applyFill="1" applyBorder="1"/>
    <xf numFmtId="49" fontId="10" fillId="3" borderId="15" xfId="0" applyNumberFormat="1" applyFont="1" applyFill="1" applyBorder="1"/>
    <xf numFmtId="49" fontId="10" fillId="3" borderId="16" xfId="0" applyNumberFormat="1" applyFont="1" applyFill="1" applyBorder="1"/>
    <xf numFmtId="49" fontId="10" fillId="0" borderId="4" xfId="0" applyNumberFormat="1" applyFont="1" applyBorder="1"/>
    <xf numFmtId="49" fontId="10" fillId="0" borderId="6" xfId="0" applyNumberFormat="1" applyFont="1" applyBorder="1"/>
    <xf numFmtId="49" fontId="10" fillId="3" borderId="17" xfId="0" applyNumberFormat="1" applyFont="1" applyFill="1" applyBorder="1"/>
    <xf numFmtId="49" fontId="10" fillId="2" borderId="14" xfId="0" applyNumberFormat="1" applyFont="1" applyFill="1" applyBorder="1"/>
    <xf numFmtId="49" fontId="10" fillId="3" borderId="23" xfId="0" applyNumberFormat="1" applyFont="1" applyFill="1" applyBorder="1"/>
    <xf numFmtId="49" fontId="10" fillId="2" borderId="15" xfId="0" applyNumberFormat="1" applyFont="1" applyFill="1" applyBorder="1"/>
    <xf numFmtId="49" fontId="10" fillId="2" borderId="26" xfId="0" applyNumberFormat="1" applyFont="1" applyFill="1" applyBorder="1"/>
    <xf numFmtId="0" fontId="10" fillId="4" borderId="17" xfId="0" applyFont="1" applyFill="1" applyBorder="1"/>
    <xf numFmtId="49" fontId="10" fillId="0" borderId="0" xfId="0" applyNumberFormat="1" applyFont="1" applyBorder="1"/>
    <xf numFmtId="0" fontId="10" fillId="4" borderId="19" xfId="0" applyFont="1" applyFill="1" applyBorder="1"/>
    <xf numFmtId="49" fontId="10" fillId="3" borderId="21" xfId="0" applyNumberFormat="1" applyFont="1" applyFill="1" applyBorder="1"/>
    <xf numFmtId="49" fontId="10" fillId="2" borderId="18" xfId="0" applyNumberFormat="1" applyFont="1" applyFill="1" applyBorder="1"/>
    <xf numFmtId="0" fontId="9" fillId="0" borderId="0" xfId="0" applyFont="1"/>
    <xf numFmtId="49" fontId="9" fillId="3" borderId="16" xfId="0" applyNumberFormat="1" applyFont="1" applyFill="1" applyBorder="1"/>
    <xf numFmtId="49" fontId="9" fillId="0" borderId="0" xfId="0" applyNumberFormat="1" applyFont="1"/>
    <xf numFmtId="49" fontId="9" fillId="2" borderId="25" xfId="0" applyNumberFormat="1" applyFont="1" applyFill="1" applyBorder="1"/>
    <xf numFmtId="49" fontId="9" fillId="2" borderId="26" xfId="0" applyNumberFormat="1" applyFont="1" applyFill="1" applyBorder="1"/>
    <xf numFmtId="49" fontId="9" fillId="0" borderId="3" xfId="0" applyNumberFormat="1" applyFont="1" applyBorder="1"/>
    <xf numFmtId="49" fontId="8" fillId="0" borderId="0" xfId="0" applyNumberFormat="1" applyFont="1"/>
    <xf numFmtId="49" fontId="8" fillId="0" borderId="3" xfId="0" applyNumberFormat="1" applyFont="1" applyBorder="1"/>
    <xf numFmtId="49" fontId="8" fillId="0" borderId="6" xfId="0" applyNumberFormat="1" applyFont="1" applyBorder="1"/>
    <xf numFmtId="0" fontId="8" fillId="0" borderId="0" xfId="0" applyFont="1"/>
    <xf numFmtId="49" fontId="7" fillId="3" borderId="24" xfId="0" applyNumberFormat="1" applyFont="1" applyFill="1" applyBorder="1"/>
    <xf numFmtId="49" fontId="7" fillId="3" borderId="16" xfId="0" applyNumberFormat="1" applyFont="1" applyFill="1" applyBorder="1"/>
    <xf numFmtId="49" fontId="7" fillId="0" borderId="0" xfId="0" applyNumberFormat="1" applyFont="1"/>
    <xf numFmtId="49" fontId="7" fillId="2" borderId="14" xfId="0" applyNumberFormat="1" applyFont="1" applyFill="1" applyBorder="1"/>
    <xf numFmtId="49" fontId="7" fillId="0" borderId="3" xfId="0" applyNumberFormat="1" applyFont="1" applyBorder="1"/>
    <xf numFmtId="49" fontId="7" fillId="3" borderId="21" xfId="0" applyNumberFormat="1" applyFont="1" applyFill="1" applyBorder="1"/>
    <xf numFmtId="0" fontId="7" fillId="4" borderId="16" xfId="0" applyFont="1" applyFill="1" applyBorder="1"/>
    <xf numFmtId="49" fontId="7" fillId="3" borderId="22" xfId="0" applyNumberFormat="1" applyFont="1" applyFill="1" applyBorder="1"/>
    <xf numFmtId="49" fontId="7" fillId="3" borderId="23" xfId="0" applyNumberFormat="1" applyFont="1" applyFill="1" applyBorder="1"/>
    <xf numFmtId="49" fontId="7" fillId="0" borderId="6" xfId="0" applyNumberFormat="1" applyFont="1" applyBorder="1"/>
    <xf numFmtId="49" fontId="7" fillId="0" borderId="0" xfId="0" applyNumberFormat="1" applyFont="1" applyBorder="1"/>
    <xf numFmtId="0" fontId="7" fillId="0" borderId="0" xfId="0" applyFont="1"/>
    <xf numFmtId="49" fontId="6" fillId="0" borderId="0" xfId="0" applyNumberFormat="1" applyFont="1"/>
    <xf numFmtId="49" fontId="6" fillId="2" borderId="16" xfId="0" applyNumberFormat="1" applyFont="1" applyFill="1" applyBorder="1"/>
    <xf numFmtId="49" fontId="5" fillId="2" borderId="16" xfId="0" applyNumberFormat="1" applyFont="1" applyFill="1" applyBorder="1"/>
    <xf numFmtId="0" fontId="5" fillId="0" borderId="0" xfId="0" applyFont="1"/>
    <xf numFmtId="49" fontId="5" fillId="0" borderId="3" xfId="0" applyNumberFormat="1" applyFont="1" applyBorder="1"/>
    <xf numFmtId="0" fontId="4" fillId="0" borderId="0" xfId="0" applyFont="1"/>
    <xf numFmtId="49" fontId="4" fillId="0" borderId="0" xfId="0" applyNumberFormat="1" applyFont="1"/>
    <xf numFmtId="49" fontId="4" fillId="0" borderId="3" xfId="0" applyNumberFormat="1" applyFont="1" applyBorder="1"/>
    <xf numFmtId="49" fontId="3" fillId="0" borderId="3" xfId="0" applyNumberFormat="1" applyFont="1" applyBorder="1"/>
    <xf numFmtId="49" fontId="3" fillId="0" borderId="0" xfId="0" applyNumberFormat="1" applyFont="1"/>
    <xf numFmtId="0" fontId="3" fillId="0" borderId="0" xfId="0" applyFont="1"/>
    <xf numFmtId="49" fontId="3" fillId="0" borderId="6" xfId="0" applyNumberFormat="1" applyFont="1" applyBorder="1"/>
    <xf numFmtId="49" fontId="3" fillId="0" borderId="0" xfId="0" applyNumberFormat="1" applyFont="1" applyBorder="1"/>
    <xf numFmtId="0" fontId="3" fillId="4" borderId="14" xfId="0" applyFont="1" applyFill="1" applyBorder="1"/>
    <xf numFmtId="49" fontId="3" fillId="2" borderId="21" xfId="0" applyNumberFormat="1" applyFont="1" applyFill="1" applyBorder="1"/>
    <xf numFmtId="49" fontId="3" fillId="2" borderId="14" xfId="0" applyNumberFormat="1" applyFont="1" applyFill="1" applyBorder="1"/>
    <xf numFmtId="49" fontId="3" fillId="3" borderId="21" xfId="0" applyNumberFormat="1" applyFont="1" applyFill="1" applyBorder="1"/>
    <xf numFmtId="0" fontId="3" fillId="4" borderId="16" xfId="0" applyFont="1" applyFill="1" applyBorder="1"/>
    <xf numFmtId="49" fontId="2" fillId="0" borderId="3" xfId="0" applyNumberFormat="1" applyFont="1" applyBorder="1"/>
    <xf numFmtId="49" fontId="2" fillId="0" borderId="0" xfId="0" applyNumberFormat="1" applyFont="1"/>
    <xf numFmtId="49" fontId="1" fillId="2" borderId="14" xfId="0" applyNumberFormat="1" applyFont="1" applyFill="1" applyBorder="1"/>
    <xf numFmtId="0" fontId="1" fillId="0" borderId="0" xfId="0" applyFont="1"/>
    <xf numFmtId="49" fontId="1" fillId="0" borderId="0" xfId="0" applyNumberFormat="1" applyFont="1"/>
    <xf numFmtId="49" fontId="1" fillId="0" borderId="3" xfId="0" applyNumberFormat="1" applyFont="1" applyBorder="1"/>
  </cellXfs>
  <cellStyles count="1">
    <cellStyle name="Normalny" xfId="0" builtinId="0"/>
  </cellStyles>
  <dxfs count="6"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6"/>
  <sheetViews>
    <sheetView topLeftCell="J1" zoomScale="85" zoomScaleNormal="85" workbookViewId="0">
      <selection activeCell="P13" sqref="P13"/>
    </sheetView>
  </sheetViews>
  <sheetFormatPr defaultColWidth="8.796875" defaultRowHeight="14.4"/>
  <cols>
    <col min="1" max="1" width="15.19921875" style="1" bestFit="1" customWidth="1"/>
    <col min="2" max="2" width="17.59765625" style="1" bestFit="1" customWidth="1"/>
    <col min="3" max="3" width="15.296875" style="1" bestFit="1" customWidth="1"/>
    <col min="4" max="4" width="18.5" style="1" bestFit="1" customWidth="1"/>
    <col min="5" max="5" width="15.296875" style="1" bestFit="1" customWidth="1"/>
    <col min="6" max="6" width="16.19921875" style="1" bestFit="1" customWidth="1"/>
    <col min="7" max="7" width="13.3984375" style="1" bestFit="1" customWidth="1"/>
    <col min="8" max="8" width="17" style="1" bestFit="1" customWidth="1"/>
    <col min="9" max="9" width="17.59765625" style="1" bestFit="1" customWidth="1"/>
    <col min="10" max="10" width="17.296875" style="1" customWidth="1"/>
    <col min="11" max="11" width="15.5" style="1" bestFit="1" customWidth="1"/>
    <col min="12" max="12" width="17" style="1" bestFit="1" customWidth="1"/>
    <col min="13" max="13" width="14.796875" style="1" customWidth="1"/>
    <col min="14" max="14" width="16.19921875" style="1" bestFit="1" customWidth="1"/>
    <col min="15" max="15" width="15.296875" style="1" customWidth="1"/>
    <col min="16" max="16" width="17.5" style="1" bestFit="1" customWidth="1"/>
    <col min="17" max="17" width="16.69921875" style="1" bestFit="1" customWidth="1"/>
    <col min="18" max="18" width="17.3984375" style="1" bestFit="1" customWidth="1"/>
    <col min="19" max="19" width="12.19921875" style="1" bestFit="1" customWidth="1"/>
    <col min="20" max="16384" width="8.796875" style="1"/>
  </cols>
  <sheetData>
    <row r="1" spans="1:20" ht="18.600000000000001" thickBot="1">
      <c r="B1" s="2" t="s">
        <v>0</v>
      </c>
      <c r="C1" s="2" t="s">
        <v>1</v>
      </c>
      <c r="D1" s="2" t="s">
        <v>19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20</v>
      </c>
      <c r="L1" s="2" t="s">
        <v>8</v>
      </c>
      <c r="M1" s="2" t="s">
        <v>32</v>
      </c>
      <c r="N1" s="2" t="s">
        <v>9</v>
      </c>
      <c r="O1" s="2" t="s">
        <v>21</v>
      </c>
      <c r="P1" s="2" t="s">
        <v>18</v>
      </c>
      <c r="Q1" s="2" t="s">
        <v>27</v>
      </c>
      <c r="R1" s="2" t="s">
        <v>22</v>
      </c>
      <c r="S1" s="2" t="s">
        <v>23</v>
      </c>
    </row>
    <row r="2" spans="1:20" ht="18">
      <c r="A2" s="3" t="s">
        <v>10</v>
      </c>
      <c r="B2" s="4">
        <v>3</v>
      </c>
      <c r="C2" s="4">
        <v>0</v>
      </c>
      <c r="D2" s="4">
        <v>3</v>
      </c>
      <c r="E2" s="4">
        <v>2</v>
      </c>
      <c r="F2" s="4">
        <v>1</v>
      </c>
      <c r="G2" s="4">
        <v>2</v>
      </c>
      <c r="H2" s="4">
        <v>2</v>
      </c>
      <c r="I2" s="4">
        <v>2</v>
      </c>
      <c r="J2" s="4">
        <v>2</v>
      </c>
      <c r="K2" s="4">
        <v>2</v>
      </c>
      <c r="L2" s="4">
        <v>1</v>
      </c>
      <c r="M2" s="4">
        <v>2</v>
      </c>
      <c r="N2" s="4">
        <v>2</v>
      </c>
      <c r="O2" s="4">
        <v>3</v>
      </c>
      <c r="P2" s="4">
        <v>2</v>
      </c>
      <c r="Q2" s="4">
        <v>4</v>
      </c>
      <c r="R2" s="4">
        <v>2</v>
      </c>
      <c r="S2" s="5">
        <v>0</v>
      </c>
    </row>
    <row r="3" spans="1:20" ht="18">
      <c r="A3" s="6" t="s">
        <v>11</v>
      </c>
      <c r="B3" s="7">
        <v>1</v>
      </c>
      <c r="C3" s="7">
        <v>3</v>
      </c>
      <c r="D3" s="7">
        <v>0</v>
      </c>
      <c r="E3" s="7">
        <v>0</v>
      </c>
      <c r="F3" s="7">
        <v>1</v>
      </c>
      <c r="G3" s="7">
        <v>1</v>
      </c>
      <c r="H3" s="7">
        <v>0</v>
      </c>
      <c r="I3" s="7">
        <v>1</v>
      </c>
      <c r="J3" s="7">
        <v>3</v>
      </c>
      <c r="K3" s="7">
        <v>0</v>
      </c>
      <c r="L3" s="7">
        <v>1</v>
      </c>
      <c r="M3" s="7">
        <v>1</v>
      </c>
      <c r="N3" s="7">
        <v>1</v>
      </c>
      <c r="O3" s="7">
        <v>1</v>
      </c>
      <c r="P3" s="7">
        <v>3</v>
      </c>
      <c r="Q3" s="7">
        <v>0</v>
      </c>
      <c r="R3" s="7">
        <v>2</v>
      </c>
      <c r="S3" s="8">
        <v>3</v>
      </c>
    </row>
    <row r="4" spans="1:20" ht="18.600000000000001" thickBot="1">
      <c r="A4" s="6" t="s">
        <v>12</v>
      </c>
      <c r="B4" s="7">
        <v>0</v>
      </c>
      <c r="C4" s="7">
        <v>0</v>
      </c>
      <c r="D4" s="7">
        <v>1</v>
      </c>
      <c r="E4" s="7">
        <v>0</v>
      </c>
      <c r="F4" s="7">
        <v>1</v>
      </c>
      <c r="G4" s="7">
        <v>0</v>
      </c>
      <c r="H4" s="7">
        <v>1</v>
      </c>
      <c r="I4" s="7">
        <v>1</v>
      </c>
      <c r="J4" s="7">
        <v>1</v>
      </c>
      <c r="K4" s="7">
        <v>0</v>
      </c>
      <c r="L4" s="7">
        <v>2</v>
      </c>
      <c r="M4" s="7">
        <v>1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8">
        <v>2</v>
      </c>
    </row>
    <row r="5" spans="1:20" ht="18">
      <c r="A5" s="3" t="s">
        <v>13</v>
      </c>
      <c r="B5" s="4">
        <v>11</v>
      </c>
      <c r="C5" s="4">
        <v>4</v>
      </c>
      <c r="D5" s="4">
        <v>7</v>
      </c>
      <c r="E5" s="4">
        <v>3</v>
      </c>
      <c r="F5" s="4">
        <v>4</v>
      </c>
      <c r="G5" s="4">
        <v>5</v>
      </c>
      <c r="H5" s="4">
        <v>4</v>
      </c>
      <c r="I5" s="4">
        <v>5</v>
      </c>
      <c r="J5" s="4">
        <v>8</v>
      </c>
      <c r="K5" s="4">
        <v>10</v>
      </c>
      <c r="L5" s="4">
        <v>2</v>
      </c>
      <c r="M5" s="4">
        <v>4</v>
      </c>
      <c r="N5" s="4">
        <v>6</v>
      </c>
      <c r="O5" s="4">
        <v>13</v>
      </c>
      <c r="P5" s="4">
        <v>9</v>
      </c>
      <c r="Q5" s="4">
        <v>9</v>
      </c>
      <c r="R5" s="4">
        <v>7</v>
      </c>
      <c r="S5" s="5">
        <v>6</v>
      </c>
    </row>
    <row r="6" spans="1:20" ht="18.600000000000001" thickBot="1">
      <c r="A6" s="6" t="s">
        <v>14</v>
      </c>
      <c r="B6" s="7">
        <v>2</v>
      </c>
      <c r="C6" s="7">
        <v>4</v>
      </c>
      <c r="D6" s="7">
        <v>4</v>
      </c>
      <c r="E6" s="7">
        <v>1</v>
      </c>
      <c r="F6" s="7">
        <v>4</v>
      </c>
      <c r="G6" s="7">
        <v>1</v>
      </c>
      <c r="H6" s="7">
        <v>3</v>
      </c>
      <c r="I6" s="7">
        <v>4</v>
      </c>
      <c r="J6" s="7">
        <v>7</v>
      </c>
      <c r="K6" s="7">
        <v>2</v>
      </c>
      <c r="L6" s="7">
        <v>6</v>
      </c>
      <c r="M6" s="7">
        <v>2</v>
      </c>
      <c r="N6" s="7">
        <v>3</v>
      </c>
      <c r="O6" s="7">
        <v>2</v>
      </c>
      <c r="P6" s="7">
        <v>6</v>
      </c>
      <c r="Q6" s="7">
        <v>1</v>
      </c>
      <c r="R6" s="7">
        <v>5</v>
      </c>
      <c r="S6" s="8">
        <v>10</v>
      </c>
    </row>
    <row r="7" spans="1:20" ht="18.600000000000001" thickBot="1">
      <c r="A7" s="9" t="s">
        <v>15</v>
      </c>
      <c r="B7" s="10">
        <f t="shared" ref="B7:K7" si="0">B5-B6</f>
        <v>9</v>
      </c>
      <c r="C7" s="10">
        <f>C5-C6</f>
        <v>0</v>
      </c>
      <c r="D7" s="10">
        <f t="shared" si="0"/>
        <v>3</v>
      </c>
      <c r="E7" s="10">
        <f t="shared" si="0"/>
        <v>2</v>
      </c>
      <c r="F7" s="10">
        <f t="shared" si="0"/>
        <v>0</v>
      </c>
      <c r="G7" s="10">
        <f t="shared" si="0"/>
        <v>4</v>
      </c>
      <c r="H7" s="10">
        <f t="shared" si="0"/>
        <v>1</v>
      </c>
      <c r="I7" s="10">
        <f t="shared" si="0"/>
        <v>1</v>
      </c>
      <c r="J7" s="10">
        <f t="shared" si="0"/>
        <v>1</v>
      </c>
      <c r="K7" s="10">
        <f t="shared" si="0"/>
        <v>8</v>
      </c>
      <c r="L7" s="10">
        <f t="shared" ref="L7:S7" si="1">L5-L6</f>
        <v>-4</v>
      </c>
      <c r="M7" s="10">
        <f>M5-M6</f>
        <v>2</v>
      </c>
      <c r="N7" s="10">
        <f t="shared" si="1"/>
        <v>3</v>
      </c>
      <c r="O7" s="10">
        <f t="shared" si="1"/>
        <v>11</v>
      </c>
      <c r="P7" s="10">
        <f t="shared" si="1"/>
        <v>3</v>
      </c>
      <c r="Q7" s="10">
        <f t="shared" si="1"/>
        <v>8</v>
      </c>
      <c r="R7" s="10">
        <f t="shared" si="1"/>
        <v>2</v>
      </c>
      <c r="S7" s="11">
        <f t="shared" si="1"/>
        <v>-4</v>
      </c>
    </row>
    <row r="8" spans="1:20" ht="15.6">
      <c r="A8" s="51" t="s">
        <v>16</v>
      </c>
      <c r="B8" s="102" t="s">
        <v>201</v>
      </c>
      <c r="C8" s="79" t="s">
        <v>120</v>
      </c>
      <c r="D8" s="102" t="s">
        <v>205</v>
      </c>
      <c r="E8" s="79" t="s">
        <v>71</v>
      </c>
      <c r="F8" s="123" t="s">
        <v>246</v>
      </c>
      <c r="G8" s="79" t="s">
        <v>126</v>
      </c>
      <c r="H8" s="79" t="s">
        <v>135</v>
      </c>
      <c r="I8" s="111" t="s">
        <v>226</v>
      </c>
      <c r="J8" s="79" t="s">
        <v>43</v>
      </c>
      <c r="K8" s="77" t="s">
        <v>111</v>
      </c>
      <c r="L8" s="77" t="s">
        <v>124</v>
      </c>
      <c r="M8" s="77" t="s">
        <v>76</v>
      </c>
      <c r="N8" s="79" t="s">
        <v>72</v>
      </c>
      <c r="O8" s="79" t="s">
        <v>67</v>
      </c>
      <c r="P8" s="123" t="s">
        <v>245</v>
      </c>
      <c r="Q8" s="79" t="s">
        <v>103</v>
      </c>
      <c r="R8" s="111" t="s">
        <v>223</v>
      </c>
      <c r="S8" s="85" t="s">
        <v>140</v>
      </c>
    </row>
    <row r="9" spans="1:20">
      <c r="A9" s="14"/>
      <c r="B9" s="97" t="s">
        <v>202</v>
      </c>
      <c r="C9" s="128" t="s">
        <v>281</v>
      </c>
      <c r="D9" s="78" t="s">
        <v>132</v>
      </c>
      <c r="E9" s="78" t="s">
        <v>118</v>
      </c>
      <c r="F9" s="122" t="s">
        <v>247</v>
      </c>
      <c r="G9" s="81" t="s">
        <v>127</v>
      </c>
      <c r="H9" s="81" t="s">
        <v>136</v>
      </c>
      <c r="I9" s="78" t="s">
        <v>122</v>
      </c>
      <c r="J9" s="109" t="s">
        <v>228</v>
      </c>
      <c r="K9" s="78" t="s">
        <v>60</v>
      </c>
      <c r="L9" s="119" t="s">
        <v>242</v>
      </c>
      <c r="M9" s="78" t="s">
        <v>77</v>
      </c>
      <c r="N9" s="81" t="s">
        <v>46</v>
      </c>
      <c r="O9" s="78" t="s">
        <v>151</v>
      </c>
      <c r="P9" s="122" t="s">
        <v>44</v>
      </c>
      <c r="Q9" s="129" t="s">
        <v>277</v>
      </c>
      <c r="R9" s="78" t="s">
        <v>106</v>
      </c>
      <c r="S9" s="86" t="s">
        <v>141</v>
      </c>
      <c r="T9" s="12"/>
    </row>
    <row r="10" spans="1:20">
      <c r="A10" s="25"/>
      <c r="B10" s="78" t="s">
        <v>100</v>
      </c>
      <c r="C10" s="128" t="s">
        <v>282</v>
      </c>
      <c r="D10" s="81" t="s">
        <v>82</v>
      </c>
      <c r="E10" s="78" t="s">
        <v>119</v>
      </c>
      <c r="F10" s="78" t="s">
        <v>145</v>
      </c>
      <c r="G10" s="78" t="s">
        <v>128</v>
      </c>
      <c r="H10" s="128" t="s">
        <v>278</v>
      </c>
      <c r="I10" s="78" t="s">
        <v>160</v>
      </c>
      <c r="J10" s="93" t="s">
        <v>64</v>
      </c>
      <c r="K10" s="78" t="s">
        <v>61</v>
      </c>
      <c r="L10" s="22"/>
      <c r="M10" s="78" t="s">
        <v>91</v>
      </c>
      <c r="N10" s="78" t="s">
        <v>47</v>
      </c>
      <c r="O10" s="78" t="s">
        <v>96</v>
      </c>
      <c r="P10" s="78" t="s">
        <v>45</v>
      </c>
      <c r="Q10" s="78" t="s">
        <v>88</v>
      </c>
      <c r="R10" s="78" t="s">
        <v>107</v>
      </c>
      <c r="S10" s="86" t="s">
        <v>86</v>
      </c>
      <c r="T10" s="12"/>
    </row>
    <row r="11" spans="1:20">
      <c r="A11" s="25"/>
      <c r="B11" s="78" t="s">
        <v>159</v>
      </c>
      <c r="C11" s="53"/>
      <c r="D11" s="93" t="s">
        <v>81</v>
      </c>
      <c r="E11" s="50"/>
      <c r="F11" s="21"/>
      <c r="G11" s="50"/>
      <c r="H11" s="128" t="s">
        <v>279</v>
      </c>
      <c r="I11" s="53"/>
      <c r="J11" s="78" t="s">
        <v>65</v>
      </c>
      <c r="K11" s="78" t="s">
        <v>62</v>
      </c>
      <c r="L11" s="19"/>
      <c r="M11" s="78" t="s">
        <v>37</v>
      </c>
      <c r="N11" s="78" t="s">
        <v>131</v>
      </c>
      <c r="O11" s="78" t="s">
        <v>150</v>
      </c>
      <c r="P11" s="140" t="s">
        <v>287</v>
      </c>
      <c r="Q11" s="128" t="s">
        <v>275</v>
      </c>
      <c r="R11" s="109" t="s">
        <v>84</v>
      </c>
      <c r="S11" s="86" t="s">
        <v>117</v>
      </c>
      <c r="T11" s="12"/>
    </row>
    <row r="12" spans="1:20">
      <c r="A12" s="24"/>
      <c r="B12" s="78" t="s">
        <v>156</v>
      </c>
      <c r="C12" s="50"/>
      <c r="D12" s="99" t="s">
        <v>206</v>
      </c>
      <c r="E12" s="50"/>
      <c r="F12" s="22"/>
      <c r="G12" s="12"/>
      <c r="H12" s="12"/>
      <c r="I12" s="12"/>
      <c r="J12" s="109" t="s">
        <v>229</v>
      </c>
      <c r="K12" s="78" t="s">
        <v>114</v>
      </c>
      <c r="L12" s="12"/>
      <c r="M12" s="109" t="s">
        <v>221</v>
      </c>
      <c r="N12" s="12"/>
      <c r="O12" s="78" t="s">
        <v>148</v>
      </c>
      <c r="P12" s="141" t="s">
        <v>288</v>
      </c>
      <c r="Q12" s="128" t="s">
        <v>276</v>
      </c>
      <c r="R12" s="109" t="s">
        <v>224</v>
      </c>
      <c r="S12" s="116" t="s">
        <v>235</v>
      </c>
      <c r="T12" s="12"/>
    </row>
    <row r="13" spans="1:20">
      <c r="A13" s="25"/>
      <c r="B13" s="78" t="s">
        <v>158</v>
      </c>
      <c r="C13" s="50"/>
      <c r="E13" s="53"/>
      <c r="F13" s="22"/>
      <c r="G13" s="19"/>
      <c r="H13" s="20"/>
      <c r="I13" s="50"/>
      <c r="J13" s="109" t="s">
        <v>230</v>
      </c>
      <c r="K13" s="78" t="s">
        <v>63</v>
      </c>
      <c r="L13" s="12"/>
      <c r="M13" s="47"/>
      <c r="N13" s="50"/>
      <c r="O13" s="81" t="s">
        <v>68</v>
      </c>
      <c r="P13" s="50"/>
      <c r="Q13" s="50"/>
      <c r="R13" s="109" t="s">
        <v>234</v>
      </c>
      <c r="S13" s="66"/>
      <c r="T13" s="12"/>
    </row>
    <row r="14" spans="1:20">
      <c r="A14" s="25"/>
      <c r="B14" s="93" t="s">
        <v>74</v>
      </c>
      <c r="C14" s="50"/>
      <c r="D14" s="12"/>
      <c r="E14" s="50"/>
      <c r="F14" s="22"/>
      <c r="G14" s="19"/>
      <c r="H14" s="12"/>
      <c r="I14" s="50"/>
      <c r="J14" s="53"/>
      <c r="K14" s="78" t="s">
        <v>113</v>
      </c>
      <c r="L14" s="20"/>
      <c r="M14" s="50"/>
      <c r="N14" s="50"/>
      <c r="O14" s="78" t="s">
        <v>149</v>
      </c>
      <c r="P14" s="50"/>
      <c r="Q14" s="50"/>
      <c r="R14" s="53"/>
      <c r="S14" s="66"/>
      <c r="T14" s="12"/>
    </row>
    <row r="15" spans="1:20">
      <c r="A15" s="25"/>
      <c r="B15" s="78" t="s">
        <v>157</v>
      </c>
      <c r="C15" s="50"/>
      <c r="D15" s="50"/>
      <c r="E15" s="50"/>
      <c r="F15" s="22"/>
      <c r="G15" s="19"/>
      <c r="H15" s="12"/>
      <c r="I15" s="50"/>
      <c r="J15" s="50"/>
      <c r="K15" s="78" t="s">
        <v>112</v>
      </c>
      <c r="L15" s="20"/>
      <c r="M15" s="47"/>
      <c r="N15" s="50"/>
      <c r="O15" s="78" t="s">
        <v>153</v>
      </c>
      <c r="P15" s="50"/>
      <c r="Q15" s="50"/>
      <c r="R15" s="50"/>
      <c r="S15" s="66"/>
      <c r="T15" s="12"/>
    </row>
    <row r="16" spans="1:20">
      <c r="A16" s="25"/>
      <c r="B16" s="12"/>
      <c r="D16" s="12"/>
      <c r="E16" s="50"/>
      <c r="F16" s="22"/>
      <c r="G16" s="12"/>
      <c r="H16" s="12"/>
      <c r="I16" s="12"/>
      <c r="J16" s="75"/>
      <c r="K16" s="78" t="s">
        <v>115</v>
      </c>
      <c r="L16" s="12"/>
      <c r="M16" s="12"/>
      <c r="N16" s="12"/>
      <c r="O16" s="78" t="s">
        <v>97</v>
      </c>
      <c r="P16" s="21"/>
      <c r="Q16" s="12"/>
      <c r="R16" s="50"/>
      <c r="S16" s="23"/>
      <c r="T16" s="12"/>
    </row>
    <row r="17" spans="1:20">
      <c r="A17" s="25"/>
      <c r="B17" s="12"/>
      <c r="C17" s="12"/>
      <c r="D17" s="12"/>
      <c r="E17" s="12"/>
      <c r="F17" s="12"/>
      <c r="G17" s="12"/>
      <c r="H17" s="12"/>
      <c r="I17" s="12"/>
      <c r="J17" s="22"/>
      <c r="K17" s="12"/>
      <c r="L17" s="12"/>
      <c r="M17" s="12"/>
      <c r="N17" s="12"/>
      <c r="O17" s="12"/>
      <c r="P17" s="12"/>
      <c r="Q17" s="12"/>
      <c r="R17" s="12"/>
      <c r="S17" s="13"/>
      <c r="T17" s="12"/>
    </row>
    <row r="18" spans="1:20">
      <c r="A18" s="24"/>
      <c r="B18" s="12"/>
      <c r="C18" s="12"/>
      <c r="E18" s="12"/>
      <c r="H18" s="12"/>
      <c r="J18" s="12"/>
      <c r="K18" s="12"/>
      <c r="R18" s="12"/>
      <c r="S18" s="14"/>
      <c r="T18" s="12"/>
    </row>
    <row r="19" spans="1:20" ht="15" thickBot="1">
      <c r="A19" s="26"/>
      <c r="B19" s="27"/>
      <c r="C19" s="12"/>
      <c r="E19" s="12"/>
      <c r="H19" s="12"/>
      <c r="J19" s="12"/>
      <c r="K19" s="12"/>
      <c r="S19" s="14"/>
      <c r="T19" s="12"/>
    </row>
    <row r="20" spans="1:20" ht="15.6">
      <c r="A20" s="62" t="s">
        <v>10</v>
      </c>
      <c r="B20" s="90" t="s">
        <v>99</v>
      </c>
      <c r="C20" s="52"/>
      <c r="D20" s="80" t="s">
        <v>80</v>
      </c>
      <c r="E20" s="76" t="s">
        <v>138</v>
      </c>
      <c r="F20" s="121" t="s">
        <v>248</v>
      </c>
      <c r="G20" s="80" t="s">
        <v>95</v>
      </c>
      <c r="H20" s="80" t="s">
        <v>137</v>
      </c>
      <c r="I20" s="80" t="s">
        <v>92</v>
      </c>
      <c r="J20" s="80" t="s">
        <v>66</v>
      </c>
      <c r="K20" s="80" t="s">
        <v>108</v>
      </c>
      <c r="L20" s="120" t="s">
        <v>243</v>
      </c>
      <c r="M20" s="80" t="s">
        <v>78</v>
      </c>
      <c r="N20" s="80" t="s">
        <v>110</v>
      </c>
      <c r="O20" s="76" t="s">
        <v>69</v>
      </c>
      <c r="P20" s="121" t="s">
        <v>244</v>
      </c>
      <c r="Q20" s="80" t="s">
        <v>73</v>
      </c>
      <c r="R20" s="80" t="s">
        <v>105</v>
      </c>
      <c r="S20" s="44"/>
      <c r="T20" s="12"/>
    </row>
    <row r="21" spans="1:20" ht="18">
      <c r="A21" s="6"/>
      <c r="B21" s="96" t="s">
        <v>155</v>
      </c>
      <c r="C21" s="56"/>
      <c r="D21" s="88" t="s">
        <v>133</v>
      </c>
      <c r="E21" s="88" t="s">
        <v>139</v>
      </c>
      <c r="F21" s="28"/>
      <c r="G21" s="88" t="s">
        <v>129</v>
      </c>
      <c r="H21" s="134" t="s">
        <v>280</v>
      </c>
      <c r="I21" s="88" t="s">
        <v>123</v>
      </c>
      <c r="J21" s="88" t="s">
        <v>102</v>
      </c>
      <c r="K21" s="88" t="s">
        <v>109</v>
      </c>
      <c r="L21" s="29"/>
      <c r="M21" s="88" t="s">
        <v>90</v>
      </c>
      <c r="N21" s="88" t="s">
        <v>130</v>
      </c>
      <c r="O21" s="88" t="s">
        <v>98</v>
      </c>
      <c r="P21" s="139" t="s">
        <v>286</v>
      </c>
      <c r="Q21" s="88" t="s">
        <v>89</v>
      </c>
      <c r="R21" s="110" t="s">
        <v>222</v>
      </c>
      <c r="S21" s="67"/>
      <c r="T21" s="12"/>
    </row>
    <row r="22" spans="1:20" ht="18">
      <c r="A22" s="6"/>
      <c r="B22" s="100" t="s">
        <v>203</v>
      </c>
      <c r="C22" s="68"/>
      <c r="D22" s="101" t="s">
        <v>204</v>
      </c>
      <c r="E22" s="68"/>
      <c r="F22" s="69"/>
      <c r="G22" s="70"/>
      <c r="H22" s="70"/>
      <c r="I22" s="68"/>
      <c r="J22" s="68"/>
      <c r="K22" s="69"/>
      <c r="L22" s="70"/>
      <c r="M22" s="68"/>
      <c r="N22" s="68"/>
      <c r="O22" s="91" t="s">
        <v>147</v>
      </c>
      <c r="P22" s="68"/>
      <c r="Q22" s="91" t="s">
        <v>104</v>
      </c>
      <c r="R22" s="68"/>
      <c r="S22" s="71"/>
      <c r="T22" s="12"/>
    </row>
    <row r="23" spans="1:20" ht="18.600000000000001" thickBot="1">
      <c r="A23" s="6"/>
      <c r="B23" s="65"/>
      <c r="C23" s="33"/>
      <c r="D23" s="32"/>
      <c r="E23" s="32"/>
      <c r="F23" s="32"/>
      <c r="G23" s="32"/>
      <c r="H23" s="32"/>
      <c r="I23" s="63"/>
      <c r="J23" s="63"/>
      <c r="K23" s="32"/>
      <c r="L23" s="32"/>
      <c r="M23" s="63"/>
      <c r="N23" s="63"/>
      <c r="O23" s="32"/>
      <c r="P23" s="63"/>
      <c r="Q23" s="133" t="s">
        <v>274</v>
      </c>
      <c r="R23" s="63"/>
      <c r="S23" s="34"/>
      <c r="T23" s="12"/>
    </row>
    <row r="24" spans="1:20" ht="15.6">
      <c r="A24" s="61" t="s">
        <v>11</v>
      </c>
      <c r="B24" s="83" t="s">
        <v>75</v>
      </c>
      <c r="C24" s="84" t="s">
        <v>93</v>
      </c>
      <c r="D24" s="35"/>
      <c r="E24" s="35"/>
      <c r="F24" s="84" t="s">
        <v>146</v>
      </c>
      <c r="G24" s="98" t="s">
        <v>200</v>
      </c>
      <c r="H24" s="55"/>
      <c r="I24" s="108" t="s">
        <v>225</v>
      </c>
      <c r="J24" s="84" t="s">
        <v>85</v>
      </c>
      <c r="K24" s="55"/>
      <c r="L24" s="84" t="s">
        <v>125</v>
      </c>
      <c r="M24" s="108" t="s">
        <v>220</v>
      </c>
      <c r="N24" s="84" t="s">
        <v>143</v>
      </c>
      <c r="O24" s="84" t="s">
        <v>154</v>
      </c>
      <c r="P24" s="84" t="s">
        <v>79</v>
      </c>
      <c r="Q24" s="45"/>
      <c r="R24" s="84" t="s">
        <v>83</v>
      </c>
      <c r="S24" s="87" t="s">
        <v>87</v>
      </c>
      <c r="T24" s="12"/>
    </row>
    <row r="25" spans="1:20" ht="18">
      <c r="A25" s="42"/>
      <c r="B25" s="57"/>
      <c r="C25" s="89" t="s">
        <v>121</v>
      </c>
      <c r="D25" s="59"/>
      <c r="E25" s="59"/>
      <c r="F25" s="59"/>
      <c r="G25" s="58"/>
      <c r="H25" s="59"/>
      <c r="I25" s="60"/>
      <c r="J25" s="89" t="s">
        <v>152</v>
      </c>
      <c r="K25" s="58"/>
      <c r="L25" s="58"/>
      <c r="M25" s="58"/>
      <c r="N25" s="60"/>
      <c r="O25" s="58"/>
      <c r="P25" s="89" t="s">
        <v>40</v>
      </c>
      <c r="Q25" s="58"/>
      <c r="R25" s="115" t="s">
        <v>233</v>
      </c>
      <c r="S25" s="107" t="s">
        <v>219</v>
      </c>
      <c r="T25" s="12"/>
    </row>
    <row r="26" spans="1:20" ht="18.600000000000001" thickBot="1">
      <c r="A26" s="42"/>
      <c r="B26" s="36"/>
      <c r="C26" s="135" t="s">
        <v>283</v>
      </c>
      <c r="D26" s="37"/>
      <c r="E26" s="37"/>
      <c r="F26" s="38"/>
      <c r="G26" s="38"/>
      <c r="H26" s="37"/>
      <c r="I26" s="37"/>
      <c r="J26" s="112" t="s">
        <v>227</v>
      </c>
      <c r="K26" s="37"/>
      <c r="L26" s="38"/>
      <c r="M26" s="37"/>
      <c r="N26" s="37"/>
      <c r="O26" s="38"/>
      <c r="P26" s="95" t="s">
        <v>144</v>
      </c>
      <c r="Q26" s="54"/>
      <c r="R26" s="37"/>
      <c r="S26" s="114" t="s">
        <v>232</v>
      </c>
      <c r="T26" s="12"/>
    </row>
    <row r="27" spans="1:20" ht="18.600000000000001" customHeight="1">
      <c r="A27" s="61" t="s">
        <v>12</v>
      </c>
      <c r="B27" s="46"/>
      <c r="C27" s="49"/>
      <c r="D27" s="82" t="s">
        <v>94</v>
      </c>
      <c r="E27" s="49"/>
      <c r="F27" s="82" t="s">
        <v>101</v>
      </c>
      <c r="G27" s="49"/>
      <c r="H27" s="136" t="s">
        <v>284</v>
      </c>
      <c r="I27" s="82" t="s">
        <v>161</v>
      </c>
      <c r="J27" s="113" t="s">
        <v>231</v>
      </c>
      <c r="K27" s="49"/>
      <c r="L27" s="82" t="s">
        <v>70</v>
      </c>
      <c r="M27" s="82" t="s">
        <v>134</v>
      </c>
      <c r="N27" s="49"/>
      <c r="O27" s="49"/>
      <c r="P27" s="39"/>
      <c r="Q27" s="39"/>
      <c r="R27" s="48"/>
      <c r="S27" s="92" t="s">
        <v>116</v>
      </c>
      <c r="T27" s="12"/>
    </row>
    <row r="28" spans="1:20" ht="18.600000000000001" customHeight="1">
      <c r="A28" s="25"/>
      <c r="B28" s="72"/>
      <c r="C28" s="30"/>
      <c r="D28" s="64"/>
      <c r="E28" s="31"/>
      <c r="F28" s="64"/>
      <c r="G28" s="64"/>
      <c r="H28" s="64"/>
      <c r="I28" s="31"/>
      <c r="J28" s="31"/>
      <c r="K28" s="31"/>
      <c r="L28" s="132" t="s">
        <v>273</v>
      </c>
      <c r="M28" s="31"/>
      <c r="N28" s="30"/>
      <c r="O28" s="64"/>
      <c r="P28" s="31"/>
      <c r="Q28" s="31"/>
      <c r="R28" s="31"/>
      <c r="S28" s="94" t="s">
        <v>142</v>
      </c>
      <c r="T28" s="12"/>
    </row>
    <row r="29" spans="1:20" ht="18.600000000000001" customHeight="1" thickBot="1">
      <c r="A29" s="25"/>
      <c r="B29" s="74"/>
      <c r="C29" s="40"/>
      <c r="D29" s="40"/>
      <c r="E29" s="40"/>
      <c r="F29" s="73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1"/>
      <c r="T29" s="12"/>
    </row>
    <row r="30" spans="1:20">
      <c r="T30" s="12"/>
    </row>
    <row r="31" spans="1:20">
      <c r="T31" s="12"/>
    </row>
    <row r="32" spans="1:20">
      <c r="T32" s="12"/>
    </row>
    <row r="33" spans="1:20">
      <c r="T33" s="12"/>
    </row>
    <row r="34" spans="1:20">
      <c r="T34" s="12"/>
    </row>
    <row r="35" spans="1:20">
      <c r="T35" s="12"/>
    </row>
    <row r="36" spans="1:20">
      <c r="A36" s="12"/>
      <c r="T36" s="12"/>
    </row>
  </sheetData>
  <sortState xmlns:xlrd2="http://schemas.microsoft.com/office/spreadsheetml/2017/richdata2" ref="S8:S11">
    <sortCondition descending="1" ref="S8:S11"/>
  </sortState>
  <conditionalFormatting sqref="B7:S7">
    <cfRule type="cellIs" dxfId="5" priority="10" operator="equal">
      <formula>0</formula>
    </cfRule>
    <cfRule type="cellIs" dxfId="4" priority="11" operator="lessThan">
      <formula>0</formula>
    </cfRule>
    <cfRule type="cellIs" dxfId="3" priority="12" operator="greaterThan">
      <formula>0</formula>
    </cfRule>
    <cfRule type="colorScale" priority="15">
      <colorScale>
        <cfvo type="num" val="&quot;&lt;0&quot;"/>
        <cfvo type="num" val="&quot;&gt;0&quot;"/>
        <color rgb="FFFF0000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85024-32B7-4AEB-A5FF-9AFE32D6E65D}">
  <dimension ref="A1:T38"/>
  <sheetViews>
    <sheetView tabSelected="1" topLeftCell="K1" zoomScale="90" zoomScaleNormal="90" workbookViewId="0">
      <selection activeCell="N9" sqref="N9"/>
    </sheetView>
  </sheetViews>
  <sheetFormatPr defaultColWidth="8.796875" defaultRowHeight="14.4"/>
  <cols>
    <col min="1" max="1" width="15.19921875" style="1" bestFit="1" customWidth="1"/>
    <col min="2" max="2" width="13.296875" style="1" bestFit="1" customWidth="1"/>
    <col min="3" max="3" width="12" style="1" bestFit="1" customWidth="1"/>
    <col min="4" max="4" width="11.5" style="1" bestFit="1" customWidth="1"/>
    <col min="5" max="5" width="14.19921875" style="1" bestFit="1" customWidth="1"/>
    <col min="6" max="6" width="12.5" style="1" bestFit="1" customWidth="1"/>
    <col min="7" max="7" width="13.296875" style="1" bestFit="1" customWidth="1"/>
    <col min="8" max="8" width="14" style="1" bestFit="1" customWidth="1"/>
    <col min="9" max="9" width="14.296875" style="1" bestFit="1" customWidth="1"/>
    <col min="10" max="10" width="12.5" style="1" bestFit="1" customWidth="1"/>
    <col min="11" max="11" width="14" style="1" bestFit="1" customWidth="1"/>
    <col min="12" max="12" width="15.19921875" style="1" bestFit="1" customWidth="1"/>
    <col min="13" max="13" width="13.69921875" style="1" bestFit="1" customWidth="1"/>
    <col min="14" max="14" width="13.19921875" style="1" bestFit="1" customWidth="1"/>
    <col min="15" max="15" width="14.796875" style="1" bestFit="1" customWidth="1"/>
    <col min="16" max="17" width="14.796875" style="1" customWidth="1"/>
    <col min="18" max="18" width="12.8984375" style="1" bestFit="1" customWidth="1"/>
    <col min="19" max="19" width="12.796875" style="1" bestFit="1" customWidth="1"/>
    <col min="20" max="16384" width="8.796875" style="1"/>
  </cols>
  <sheetData>
    <row r="1" spans="1:20" ht="18.600000000000001" thickBot="1">
      <c r="B1" s="2" t="s">
        <v>24</v>
      </c>
      <c r="C1" s="2" t="s">
        <v>34</v>
      </c>
      <c r="D1" s="2" t="s">
        <v>17</v>
      </c>
      <c r="E1" s="2" t="s">
        <v>33</v>
      </c>
      <c r="F1" s="2" t="s">
        <v>35</v>
      </c>
      <c r="G1" s="2" t="s">
        <v>54</v>
      </c>
      <c r="H1" s="2" t="s">
        <v>52</v>
      </c>
      <c r="I1" s="2" t="s">
        <v>53</v>
      </c>
      <c r="J1" s="2" t="s">
        <v>48</v>
      </c>
      <c r="K1" s="2" t="s">
        <v>30</v>
      </c>
      <c r="L1" s="2" t="s">
        <v>31</v>
      </c>
      <c r="M1" s="2" t="s">
        <v>49</v>
      </c>
      <c r="N1" s="2" t="s">
        <v>29</v>
      </c>
      <c r="O1" s="2" t="s">
        <v>51</v>
      </c>
      <c r="P1" s="2" t="s">
        <v>28</v>
      </c>
      <c r="Q1" s="2" t="s">
        <v>50</v>
      </c>
      <c r="R1" s="2" t="s">
        <v>26</v>
      </c>
      <c r="S1" s="2" t="s">
        <v>25</v>
      </c>
    </row>
    <row r="2" spans="1:20" ht="18">
      <c r="A2" s="3" t="s">
        <v>10</v>
      </c>
      <c r="B2" s="4">
        <v>3</v>
      </c>
      <c r="C2" s="4">
        <v>1</v>
      </c>
      <c r="D2" s="4">
        <v>2</v>
      </c>
      <c r="E2" s="4">
        <v>2</v>
      </c>
      <c r="F2" s="4">
        <v>2</v>
      </c>
      <c r="G2" s="4">
        <v>0</v>
      </c>
      <c r="H2" s="4">
        <v>1</v>
      </c>
      <c r="I2" s="4">
        <v>1</v>
      </c>
      <c r="J2" s="4">
        <v>1</v>
      </c>
      <c r="K2" s="4">
        <v>1</v>
      </c>
      <c r="L2" s="4">
        <v>2</v>
      </c>
      <c r="M2" s="4">
        <v>1</v>
      </c>
      <c r="N2" s="4">
        <v>2</v>
      </c>
      <c r="O2" s="4">
        <v>2</v>
      </c>
      <c r="P2" s="4">
        <v>3</v>
      </c>
      <c r="Q2" s="4">
        <v>3</v>
      </c>
      <c r="R2" s="4">
        <v>0</v>
      </c>
      <c r="S2" s="5">
        <v>2</v>
      </c>
    </row>
    <row r="3" spans="1:20" ht="18">
      <c r="A3" s="6" t="s">
        <v>11</v>
      </c>
      <c r="B3" s="7">
        <v>1</v>
      </c>
      <c r="C3" s="7">
        <v>3</v>
      </c>
      <c r="D3" s="7">
        <v>1</v>
      </c>
      <c r="E3" s="7">
        <v>1</v>
      </c>
      <c r="F3" s="7">
        <v>0</v>
      </c>
      <c r="G3" s="7">
        <v>1</v>
      </c>
      <c r="H3" s="7">
        <v>0</v>
      </c>
      <c r="I3" s="7">
        <v>0</v>
      </c>
      <c r="J3" s="7">
        <v>3</v>
      </c>
      <c r="K3" s="7">
        <v>1</v>
      </c>
      <c r="L3" s="7">
        <v>0</v>
      </c>
      <c r="M3" s="7">
        <v>0</v>
      </c>
      <c r="N3" s="7">
        <v>1</v>
      </c>
      <c r="O3" s="7">
        <v>1</v>
      </c>
      <c r="P3" s="7">
        <v>0</v>
      </c>
      <c r="Q3" s="7">
        <v>2</v>
      </c>
      <c r="R3" s="7">
        <v>2</v>
      </c>
      <c r="S3" s="8">
        <v>0</v>
      </c>
    </row>
    <row r="4" spans="1:20" ht="18.600000000000001" thickBot="1">
      <c r="A4" s="6" t="s">
        <v>12</v>
      </c>
      <c r="B4" s="7">
        <v>0</v>
      </c>
      <c r="C4" s="7">
        <v>0</v>
      </c>
      <c r="D4" s="7">
        <v>0</v>
      </c>
      <c r="E4" s="7">
        <v>2</v>
      </c>
      <c r="F4" s="7">
        <v>3</v>
      </c>
      <c r="G4" s="7">
        <v>3</v>
      </c>
      <c r="H4" s="7">
        <v>3</v>
      </c>
      <c r="I4" s="7">
        <v>1</v>
      </c>
      <c r="J4" s="7">
        <v>1</v>
      </c>
      <c r="K4" s="7">
        <v>1</v>
      </c>
      <c r="L4" s="7">
        <v>1</v>
      </c>
      <c r="M4" s="7">
        <v>1</v>
      </c>
      <c r="N4" s="7">
        <v>1</v>
      </c>
      <c r="O4" s="7">
        <v>1</v>
      </c>
      <c r="P4" s="7">
        <v>1</v>
      </c>
      <c r="Q4" s="7">
        <v>0</v>
      </c>
      <c r="R4" s="7">
        <v>2</v>
      </c>
      <c r="S4" s="8">
        <v>2</v>
      </c>
    </row>
    <row r="5" spans="1:20" ht="18">
      <c r="A5" s="3" t="s">
        <v>13</v>
      </c>
      <c r="B5" s="4">
        <v>8</v>
      </c>
      <c r="C5" s="4">
        <v>11</v>
      </c>
      <c r="D5" s="4">
        <v>5</v>
      </c>
      <c r="E5" s="4">
        <v>11</v>
      </c>
      <c r="F5" s="4">
        <v>5</v>
      </c>
      <c r="G5" s="4">
        <v>3</v>
      </c>
      <c r="H5" s="4">
        <v>4</v>
      </c>
      <c r="I5" s="4">
        <v>2</v>
      </c>
      <c r="J5" s="4">
        <v>10</v>
      </c>
      <c r="K5" s="4">
        <v>6</v>
      </c>
      <c r="L5" s="4">
        <v>11</v>
      </c>
      <c r="M5" s="4">
        <v>3</v>
      </c>
      <c r="N5" s="4">
        <v>7</v>
      </c>
      <c r="O5" s="4">
        <v>11</v>
      </c>
      <c r="P5" s="4">
        <v>9</v>
      </c>
      <c r="Q5" s="4">
        <v>13</v>
      </c>
      <c r="R5" s="4">
        <v>2</v>
      </c>
      <c r="S5" s="5">
        <v>7</v>
      </c>
    </row>
    <row r="6" spans="1:20" ht="18.600000000000001" thickBot="1">
      <c r="A6" s="6" t="s">
        <v>14</v>
      </c>
      <c r="B6" s="7">
        <v>5</v>
      </c>
      <c r="C6" s="7">
        <v>6</v>
      </c>
      <c r="D6" s="7">
        <v>0</v>
      </c>
      <c r="E6" s="7">
        <v>9</v>
      </c>
      <c r="F6" s="7">
        <v>5</v>
      </c>
      <c r="G6" s="7">
        <v>9</v>
      </c>
      <c r="H6" s="7">
        <v>11</v>
      </c>
      <c r="I6" s="7">
        <v>3</v>
      </c>
      <c r="J6" s="7">
        <v>8</v>
      </c>
      <c r="K6" s="7">
        <v>3</v>
      </c>
      <c r="L6" s="7">
        <v>4</v>
      </c>
      <c r="M6" s="7">
        <v>4</v>
      </c>
      <c r="N6" s="7">
        <v>4</v>
      </c>
      <c r="O6" s="7">
        <v>7</v>
      </c>
      <c r="P6" s="7">
        <v>6</v>
      </c>
      <c r="Q6" s="7">
        <v>5</v>
      </c>
      <c r="R6" s="7">
        <v>6</v>
      </c>
      <c r="S6" s="8">
        <v>7</v>
      </c>
    </row>
    <row r="7" spans="1:20" ht="18.600000000000001" thickBot="1">
      <c r="A7" s="9" t="s">
        <v>15</v>
      </c>
      <c r="B7" s="10">
        <f>B5-B6</f>
        <v>3</v>
      </c>
      <c r="C7" s="10">
        <f t="shared" ref="C7:S7" si="0">C5-C6</f>
        <v>5</v>
      </c>
      <c r="D7" s="10">
        <f t="shared" si="0"/>
        <v>5</v>
      </c>
      <c r="E7" s="10">
        <f t="shared" si="0"/>
        <v>2</v>
      </c>
      <c r="F7" s="10">
        <f t="shared" si="0"/>
        <v>0</v>
      </c>
      <c r="G7" s="10">
        <f>G5-G6</f>
        <v>-6</v>
      </c>
      <c r="H7" s="10">
        <f t="shared" si="0"/>
        <v>-7</v>
      </c>
      <c r="I7" s="10">
        <f t="shared" si="0"/>
        <v>-1</v>
      </c>
      <c r="J7" s="10">
        <f>J5-J6</f>
        <v>2</v>
      </c>
      <c r="K7" s="10">
        <f t="shared" si="0"/>
        <v>3</v>
      </c>
      <c r="L7" s="10">
        <f t="shared" si="0"/>
        <v>7</v>
      </c>
      <c r="M7" s="10">
        <f t="shared" si="0"/>
        <v>-1</v>
      </c>
      <c r="N7" s="10">
        <f t="shared" si="0"/>
        <v>3</v>
      </c>
      <c r="O7" s="10">
        <f t="shared" si="0"/>
        <v>4</v>
      </c>
      <c r="P7" s="10">
        <f t="shared" si="0"/>
        <v>3</v>
      </c>
      <c r="Q7" s="10">
        <f t="shared" si="0"/>
        <v>8</v>
      </c>
      <c r="R7" s="10">
        <f t="shared" si="0"/>
        <v>-4</v>
      </c>
      <c r="S7" s="11">
        <f t="shared" si="0"/>
        <v>0</v>
      </c>
    </row>
    <row r="8" spans="1:20" ht="18">
      <c r="A8" s="15" t="s">
        <v>16</v>
      </c>
      <c r="B8" s="127" t="s">
        <v>256</v>
      </c>
      <c r="C8" s="111" t="s">
        <v>236</v>
      </c>
      <c r="D8" s="79" t="s">
        <v>195</v>
      </c>
      <c r="E8" s="104" t="s">
        <v>212</v>
      </c>
      <c r="F8" s="79" t="s">
        <v>37</v>
      </c>
      <c r="G8" s="79" t="s">
        <v>163</v>
      </c>
      <c r="H8" s="79" t="s">
        <v>162</v>
      </c>
      <c r="I8" s="77" t="s">
        <v>165</v>
      </c>
      <c r="J8" s="79" t="s">
        <v>191</v>
      </c>
      <c r="K8" s="127" t="s">
        <v>269</v>
      </c>
      <c r="L8" s="79" t="s">
        <v>171</v>
      </c>
      <c r="M8" s="79" t="s">
        <v>192</v>
      </c>
      <c r="N8" s="142" t="s">
        <v>290</v>
      </c>
      <c r="O8" s="126" t="s">
        <v>253</v>
      </c>
      <c r="P8" s="102" t="s">
        <v>210</v>
      </c>
      <c r="Q8" s="137" t="s">
        <v>285</v>
      </c>
      <c r="R8" s="79" t="s">
        <v>179</v>
      </c>
      <c r="S8" s="85" t="s">
        <v>38</v>
      </c>
    </row>
    <row r="9" spans="1:20">
      <c r="A9" s="16"/>
      <c r="B9" s="78" t="s">
        <v>188</v>
      </c>
      <c r="C9" s="117" t="s">
        <v>180</v>
      </c>
      <c r="D9" s="81" t="s">
        <v>197</v>
      </c>
      <c r="E9" s="78" t="s">
        <v>189</v>
      </c>
      <c r="F9" s="128" t="s">
        <v>258</v>
      </c>
      <c r="G9" s="81" t="s">
        <v>164</v>
      </c>
      <c r="H9" s="78" t="s">
        <v>166</v>
      </c>
      <c r="I9" s="50"/>
      <c r="J9" s="93" t="s">
        <v>173</v>
      </c>
      <c r="K9" s="103" t="s">
        <v>190</v>
      </c>
      <c r="L9" s="78" t="s">
        <v>186</v>
      </c>
      <c r="M9" s="78" t="s">
        <v>193</v>
      </c>
      <c r="N9" s="78" t="s">
        <v>184</v>
      </c>
      <c r="O9" s="125" t="s">
        <v>254</v>
      </c>
      <c r="P9" s="93" t="s">
        <v>168</v>
      </c>
      <c r="Q9" s="122" t="s">
        <v>250</v>
      </c>
      <c r="R9" s="131" t="s">
        <v>268</v>
      </c>
      <c r="S9" s="105" t="s">
        <v>214</v>
      </c>
      <c r="T9" s="12"/>
    </row>
    <row r="10" spans="1:20">
      <c r="A10" s="17"/>
      <c r="B10" s="128" t="s">
        <v>56</v>
      </c>
      <c r="C10" s="78" t="s">
        <v>55</v>
      </c>
      <c r="D10" s="78" t="s">
        <v>198</v>
      </c>
      <c r="E10" s="93" t="s">
        <v>177</v>
      </c>
      <c r="F10" s="129" t="s">
        <v>259</v>
      </c>
      <c r="G10" s="109" t="s">
        <v>238</v>
      </c>
      <c r="H10" s="78" t="s">
        <v>167</v>
      </c>
      <c r="I10" s="50"/>
      <c r="J10" s="78" t="s">
        <v>41</v>
      </c>
      <c r="K10" s="103" t="s">
        <v>217</v>
      </c>
      <c r="L10" s="78" t="s">
        <v>185</v>
      </c>
      <c r="M10" s="43"/>
      <c r="N10" s="109" t="s">
        <v>239</v>
      </c>
      <c r="O10" s="124" t="s">
        <v>170</v>
      </c>
      <c r="P10" s="78" t="s">
        <v>182</v>
      </c>
      <c r="Q10" s="138" t="s">
        <v>249</v>
      </c>
      <c r="R10" s="50"/>
      <c r="S10" s="130" t="s">
        <v>265</v>
      </c>
      <c r="T10" s="12"/>
    </row>
    <row r="11" spans="1:20">
      <c r="A11" s="17"/>
      <c r="B11" s="78" t="s">
        <v>39</v>
      </c>
      <c r="C11" s="78" t="s">
        <v>181</v>
      </c>
      <c r="D11" s="78" t="s">
        <v>199</v>
      </c>
      <c r="E11" s="93" t="s">
        <v>175</v>
      </c>
      <c r="F11" s="128" t="s">
        <v>260</v>
      </c>
      <c r="G11" s="50"/>
      <c r="H11" s="128" t="s">
        <v>257</v>
      </c>
      <c r="I11" s="50"/>
      <c r="J11" s="78" t="s">
        <v>59</v>
      </c>
      <c r="K11" s="106" t="s">
        <v>218</v>
      </c>
      <c r="L11" s="78" t="s">
        <v>187</v>
      </c>
      <c r="M11" s="22"/>
      <c r="N11" s="128" t="s">
        <v>270</v>
      </c>
      <c r="O11" s="78" t="s">
        <v>58</v>
      </c>
      <c r="P11" s="97" t="s">
        <v>211</v>
      </c>
      <c r="Q11" s="97" t="s">
        <v>207</v>
      </c>
      <c r="R11" s="21"/>
      <c r="S11" s="105" t="s">
        <v>215</v>
      </c>
      <c r="T11" s="12"/>
    </row>
    <row r="12" spans="1:20">
      <c r="A12" s="18"/>
      <c r="B12" s="118" t="s">
        <v>240</v>
      </c>
      <c r="C12" s="81" t="s">
        <v>194</v>
      </c>
      <c r="D12" s="12"/>
      <c r="E12" s="78" t="s">
        <v>178</v>
      </c>
      <c r="F12" s="50"/>
      <c r="G12" s="50"/>
      <c r="H12" s="50"/>
      <c r="I12" s="50"/>
      <c r="J12" s="78" t="s">
        <v>174</v>
      </c>
      <c r="K12" s="50"/>
      <c r="L12" s="78" t="s">
        <v>42</v>
      </c>
      <c r="M12" s="22"/>
      <c r="N12" s="141" t="s">
        <v>57</v>
      </c>
      <c r="O12" s="78" t="s">
        <v>36</v>
      </c>
      <c r="P12" s="78" t="s">
        <v>169</v>
      </c>
      <c r="Q12" s="99" t="s">
        <v>208</v>
      </c>
      <c r="R12" s="22"/>
      <c r="S12" s="105" t="s">
        <v>216</v>
      </c>
      <c r="T12" s="12"/>
    </row>
    <row r="13" spans="1:20">
      <c r="A13" s="17"/>
      <c r="B13" s="109" t="s">
        <v>241</v>
      </c>
      <c r="C13" s="109" t="s">
        <v>237</v>
      </c>
      <c r="D13" s="12"/>
      <c r="E13" s="78" t="s">
        <v>176</v>
      </c>
      <c r="F13" s="50"/>
      <c r="G13" s="12"/>
      <c r="H13" s="50"/>
      <c r="I13" s="50"/>
      <c r="J13" s="128" t="s">
        <v>261</v>
      </c>
      <c r="K13" s="50"/>
      <c r="L13" s="81" t="s">
        <v>172</v>
      </c>
      <c r="M13" s="21"/>
      <c r="N13" s="141" t="s">
        <v>289</v>
      </c>
      <c r="O13" s="78" t="s">
        <v>196</v>
      </c>
      <c r="P13" s="78" t="s">
        <v>183</v>
      </c>
      <c r="Q13" s="99" t="s">
        <v>209</v>
      </c>
      <c r="R13" s="22"/>
      <c r="S13" s="130" t="s">
        <v>266</v>
      </c>
      <c r="T13" s="12"/>
    </row>
    <row r="14" spans="1:20">
      <c r="A14" s="17"/>
      <c r="B14" s="128" t="s">
        <v>267</v>
      </c>
      <c r="C14" s="128" t="s">
        <v>262</v>
      </c>
      <c r="D14" s="12"/>
      <c r="E14" s="103" t="s">
        <v>213</v>
      </c>
      <c r="F14" s="50"/>
      <c r="G14" s="12"/>
      <c r="H14" s="21"/>
      <c r="I14" s="50"/>
      <c r="J14" s="53"/>
      <c r="K14" s="50"/>
      <c r="L14" s="128" t="s">
        <v>264</v>
      </c>
      <c r="M14" s="22"/>
      <c r="N14" s="50"/>
      <c r="O14" s="125" t="s">
        <v>255</v>
      </c>
      <c r="P14" s="50"/>
      <c r="Q14" s="124" t="s">
        <v>251</v>
      </c>
      <c r="R14" s="22"/>
      <c r="S14" s="13"/>
      <c r="T14" s="12"/>
    </row>
    <row r="15" spans="1:20">
      <c r="A15" s="17"/>
      <c r="B15" s="12"/>
      <c r="C15" s="128" t="s">
        <v>263</v>
      </c>
      <c r="D15" s="12"/>
      <c r="E15" s="129" t="s">
        <v>271</v>
      </c>
      <c r="F15" s="50"/>
      <c r="G15" s="12"/>
      <c r="H15" s="22"/>
      <c r="I15" s="50"/>
      <c r="J15" s="50"/>
      <c r="K15" s="50"/>
      <c r="L15" s="12"/>
      <c r="M15" s="43"/>
      <c r="N15" s="21"/>
      <c r="O15" s="53"/>
      <c r="P15" s="50"/>
      <c r="Q15" s="125" t="s">
        <v>252</v>
      </c>
      <c r="R15" s="12"/>
      <c r="S15" s="13"/>
      <c r="T15" s="12"/>
    </row>
    <row r="16" spans="1:20">
      <c r="A16" s="17"/>
      <c r="B16" s="12"/>
      <c r="C16" s="22"/>
      <c r="D16" s="12"/>
      <c r="E16" s="128" t="s">
        <v>272</v>
      </c>
      <c r="F16" s="12"/>
      <c r="G16" s="12"/>
      <c r="H16" s="22"/>
      <c r="I16" s="12"/>
      <c r="J16" s="50"/>
      <c r="K16" s="12"/>
      <c r="L16" s="12"/>
      <c r="N16" s="22"/>
      <c r="O16" s="12"/>
      <c r="P16" s="22"/>
      <c r="Q16" s="12"/>
      <c r="R16" s="12"/>
      <c r="S16" s="13"/>
      <c r="T16" s="12"/>
    </row>
    <row r="17" spans="1:20">
      <c r="A17" s="17"/>
      <c r="B17" s="12"/>
      <c r="C17" s="22"/>
      <c r="D17" s="12"/>
      <c r="E17" s="12"/>
      <c r="F17" s="12"/>
      <c r="G17" s="12"/>
      <c r="H17" s="22"/>
      <c r="I17" s="12"/>
      <c r="J17" s="22"/>
      <c r="K17" s="12"/>
      <c r="L17" s="12"/>
      <c r="M17" s="12"/>
      <c r="N17" s="43"/>
      <c r="O17" s="12"/>
      <c r="P17" s="12"/>
      <c r="Q17" s="12"/>
      <c r="R17" s="12"/>
      <c r="S17" s="13"/>
      <c r="T17" s="12"/>
    </row>
    <row r="18" spans="1:20">
      <c r="A18" s="18"/>
      <c r="B18" s="12"/>
      <c r="E18" s="12"/>
      <c r="G18" s="12"/>
      <c r="H18" s="43"/>
      <c r="I18" s="12"/>
      <c r="M18" s="12"/>
      <c r="R18" s="12"/>
      <c r="S18" s="14"/>
      <c r="T18" s="12"/>
    </row>
    <row r="19" spans="1:20">
      <c r="A19" s="18"/>
      <c r="B19" s="12"/>
      <c r="E19" s="12"/>
      <c r="G19" s="12"/>
      <c r="H19" s="43"/>
      <c r="I19" s="12"/>
      <c r="M19" s="12"/>
      <c r="S19" s="14"/>
      <c r="T19" s="12"/>
    </row>
    <row r="20" spans="1:20">
      <c r="A20" s="18"/>
      <c r="H20" s="43"/>
      <c r="I20" s="12"/>
      <c r="M20" s="12"/>
      <c r="S20" s="14"/>
      <c r="T20" s="12"/>
    </row>
    <row r="21" spans="1:20">
      <c r="A21" s="18"/>
      <c r="S21" s="14"/>
      <c r="T21" s="12"/>
    </row>
    <row r="22" spans="1:20"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 spans="1:20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 spans="1:20">
      <c r="B24" s="12"/>
      <c r="C24" s="12"/>
      <c r="D24" s="12"/>
      <c r="E24" s="12"/>
      <c r="F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T24" s="12"/>
    </row>
    <row r="25" spans="1:20">
      <c r="B25" s="12"/>
      <c r="C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 spans="1:20">
      <c r="A26" s="12"/>
      <c r="B26" s="12"/>
      <c r="C26" s="12"/>
      <c r="D26" s="12"/>
      <c r="E26" s="12"/>
      <c r="F26" s="12"/>
      <c r="G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 spans="1:20">
      <c r="A27" s="12"/>
      <c r="B27" s="12"/>
      <c r="C27" s="12"/>
      <c r="D27" s="12"/>
      <c r="E27" s="12"/>
      <c r="F27" s="12"/>
      <c r="H27" s="12"/>
      <c r="I27" s="12"/>
      <c r="J27" s="12"/>
      <c r="K27" s="12"/>
      <c r="L27" s="12"/>
      <c r="M27" s="12"/>
      <c r="O27" s="12"/>
      <c r="P27" s="12"/>
      <c r="Q27" s="12"/>
      <c r="R27" s="12"/>
      <c r="S27" s="12"/>
      <c r="T27" s="12"/>
    </row>
    <row r="28" spans="1:20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 spans="1:20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 spans="1:20">
      <c r="A30" s="12"/>
      <c r="B30" s="12"/>
      <c r="C30" s="12"/>
      <c r="D30" s="12"/>
      <c r="E30" s="12"/>
      <c r="F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</row>
    <row r="31" spans="1:20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</row>
    <row r="32" spans="1:20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</row>
    <row r="33" spans="1:20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</row>
    <row r="34" spans="1:20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</row>
    <row r="35" spans="1:20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</row>
    <row r="36" spans="1:20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</row>
    <row r="37" spans="1:20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</row>
    <row r="38" spans="1:20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</row>
  </sheetData>
  <sortState xmlns:xlrd2="http://schemas.microsoft.com/office/spreadsheetml/2017/richdata2" ref="E8:E14">
    <sortCondition descending="1" ref="E8:E14"/>
  </sortState>
  <conditionalFormatting sqref="B7:S7">
    <cfRule type="cellIs" dxfId="2" priority="1" operator="equal">
      <formula>0</formula>
    </cfRule>
    <cfRule type="cellIs" dxfId="1" priority="2" operator="lessThan">
      <formula>0</formula>
    </cfRule>
    <cfRule type="cellIs" dxfId="0" priority="3" operator="greaterThan">
      <formula>0</formula>
    </cfRule>
    <cfRule type="colorScale" priority="6">
      <colorScale>
        <cfvo type="num" val="&quot;&lt;0&quot;"/>
        <cfvo type="num" val="&quot;&gt;0&quot;"/>
        <color rgb="FFFF0000"/>
        <color rgb="FF00B050"/>
      </colorScale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Ekstraklasa</vt:lpstr>
      <vt:lpstr>I liga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Maks Marcinowski</dc:creator>
  <cp:lastModifiedBy>Maksymilian Marcinowski</cp:lastModifiedBy>
  <dcterms:created xsi:type="dcterms:W3CDTF">2019-02-10T10:55:12Z</dcterms:created>
  <dcterms:modified xsi:type="dcterms:W3CDTF">2026-01-28T14:00:52Z</dcterms:modified>
</cp:coreProperties>
</file>